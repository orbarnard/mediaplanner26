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sagems365.sharepoint.com/sites/SageDrive/Shared Documents/Templates/Media Plans/"/>
    </mc:Choice>
  </mc:AlternateContent>
  <xr:revisionPtr revIDLastSave="2170" documentId="109_{4084FE03-09D8-B24B-B1EB-F82605D06977}" xr6:coauthVersionLast="47" xr6:coauthVersionMax="47" xr10:uidLastSave="{DFF4D426-6B5E-42A3-BB53-67238B70AA1E}"/>
  <bookViews>
    <workbookView xWindow="-108" yWindow="-108" windowWidth="23256" windowHeight="12456" xr2:uid="{00000000-000D-0000-FFFF-FFFF00000000}"/>
  </bookViews>
  <sheets>
    <sheet name="Media Plan Template" sheetId="6" r:id="rId1"/>
    <sheet name="Digital Targeting" sheetId="3" r:id="rId2"/>
  </sheets>
  <externalReferences>
    <externalReference r:id="rId3"/>
  </externalReferences>
  <definedNames>
    <definedName name="_xlnm._FilterDatabase" localSheetId="1" hidden="1">'Digital Targeting'!$A$525:$Z$855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54" i="6" l="1"/>
  <c r="AI351" i="6"/>
  <c r="AI341" i="6"/>
  <c r="AI338" i="6"/>
  <c r="AI335" i="6"/>
  <c r="AI325" i="6"/>
  <c r="AI322" i="6"/>
  <c r="AI319" i="6"/>
  <c r="AI309" i="6"/>
  <c r="AI306" i="6"/>
  <c r="AI296" i="6"/>
  <c r="AI293" i="6"/>
  <c r="AI95" i="6"/>
  <c r="AI92" i="6"/>
  <c r="AI82" i="6"/>
  <c r="AI79" i="6"/>
  <c r="AI76" i="6"/>
  <c r="AI73" i="6"/>
  <c r="AI63" i="6"/>
  <c r="AI60" i="6"/>
  <c r="I354" i="6"/>
  <c r="G354" i="6" s="1"/>
  <c r="I351" i="6"/>
  <c r="G351" i="6" s="1"/>
  <c r="I341" i="6"/>
  <c r="G341" i="6" s="1"/>
  <c r="I338" i="6"/>
  <c r="G338" i="6" s="1"/>
  <c r="I335" i="6"/>
  <c r="G335" i="6" s="1"/>
  <c r="I325" i="6"/>
  <c r="G325" i="6" s="1"/>
  <c r="I322" i="6"/>
  <c r="G322" i="6" s="1"/>
  <c r="I319" i="6"/>
  <c r="G319" i="6" s="1"/>
  <c r="I309" i="6"/>
  <c r="G309" i="6" s="1"/>
  <c r="I306" i="6"/>
  <c r="G306" i="6" s="1"/>
  <c r="I296" i="6"/>
  <c r="G296" i="6" s="1"/>
  <c r="I293" i="6"/>
  <c r="G293" i="6" s="1"/>
  <c r="I95" i="6"/>
  <c r="G95" i="6" s="1"/>
  <c r="I92" i="6"/>
  <c r="G92" i="6" s="1"/>
  <c r="I82" i="6"/>
  <c r="G82" i="6" s="1"/>
  <c r="I79" i="6"/>
  <c r="G79" i="6" s="1"/>
  <c r="I76" i="6"/>
  <c r="G76" i="6" s="1"/>
  <c r="I73" i="6"/>
  <c r="G73" i="6" s="1"/>
  <c r="I63" i="6"/>
  <c r="G63" i="6" s="1"/>
  <c r="I60" i="6"/>
  <c r="G60" i="6" s="1"/>
  <c r="G4" i="3" l="1"/>
  <c r="H4" i="3" s="1"/>
  <c r="H2" i="3"/>
  <c r="A524" i="3"/>
  <c r="B524" i="3"/>
  <c r="C524" i="3"/>
  <c r="W4" i="6"/>
  <c r="Y83" i="6" l="1"/>
  <c r="Y77" i="6"/>
  <c r="Y80" i="6"/>
  <c r="O394" i="6"/>
  <c r="O395" i="6" s="1"/>
  <c r="O390" i="6"/>
  <c r="O391" i="6" s="1"/>
  <c r="O387" i="6"/>
  <c r="O388" i="6" s="1"/>
  <c r="O384" i="6"/>
  <c r="O385" i="6" s="1"/>
  <c r="O381" i="6"/>
  <c r="O382" i="6" s="1"/>
  <c r="O378" i="6"/>
  <c r="O379" i="6" s="1"/>
  <c r="O375" i="6"/>
  <c r="O376" i="6" s="1"/>
  <c r="O372" i="6"/>
  <c r="O373" i="6" s="1"/>
  <c r="O368" i="6"/>
  <c r="O369" i="6" s="1"/>
  <c r="O284" i="6"/>
  <c r="O282" i="6"/>
  <c r="O280" i="6"/>
  <c r="O278" i="6"/>
  <c r="O276" i="6"/>
  <c r="O271" i="6"/>
  <c r="O269" i="6"/>
  <c r="O267" i="6"/>
  <c r="O262" i="6"/>
  <c r="O258" i="6"/>
  <c r="O256" i="6"/>
  <c r="O254" i="6"/>
  <c r="O252" i="6"/>
  <c r="O250" i="6"/>
  <c r="O248" i="6"/>
  <c r="O242" i="6"/>
  <c r="O238" i="6"/>
  <c r="O236" i="6"/>
  <c r="O234" i="6"/>
  <c r="O232" i="6"/>
  <c r="O230" i="6"/>
  <c r="O228" i="6"/>
  <c r="O223" i="6"/>
  <c r="O219" i="6"/>
  <c r="O217" i="6"/>
  <c r="O215" i="6"/>
  <c r="O213" i="6"/>
  <c r="O211" i="6"/>
  <c r="O209" i="6"/>
  <c r="O202" i="6"/>
  <c r="O200" i="6"/>
  <c r="O198" i="6"/>
  <c r="O196" i="6"/>
  <c r="O187" i="6"/>
  <c r="O185" i="6"/>
  <c r="O183" i="6"/>
  <c r="O181" i="6"/>
  <c r="O179" i="6"/>
  <c r="O174" i="6"/>
  <c r="O172" i="6"/>
  <c r="O170" i="6"/>
  <c r="O168" i="6"/>
  <c r="O166" i="6"/>
  <c r="O164" i="6"/>
  <c r="O159" i="6"/>
  <c r="O157" i="6"/>
  <c r="O155" i="6"/>
  <c r="O153" i="6"/>
  <c r="O151" i="6"/>
  <c r="O149" i="6"/>
  <c r="O144" i="6"/>
  <c r="O142" i="6"/>
  <c r="O140" i="6"/>
  <c r="O137" i="6"/>
  <c r="O135" i="6"/>
  <c r="O133" i="6"/>
  <c r="O130" i="6"/>
  <c r="O128" i="6"/>
  <c r="O126" i="6"/>
  <c r="O123" i="6"/>
  <c r="O121" i="6"/>
  <c r="O119" i="6"/>
  <c r="O116" i="6"/>
  <c r="O114" i="6"/>
  <c r="O112" i="6"/>
  <c r="O109" i="6"/>
  <c r="O107" i="6"/>
  <c r="O105" i="6"/>
  <c r="O51" i="6"/>
  <c r="O49" i="6"/>
  <c r="O47" i="6"/>
  <c r="O45" i="6"/>
  <c r="O43" i="6"/>
  <c r="O41" i="6"/>
  <c r="O36" i="6"/>
  <c r="O34" i="6"/>
  <c r="O32" i="6"/>
  <c r="O30" i="6"/>
  <c r="O28" i="6"/>
  <c r="O26" i="6"/>
  <c r="O21" i="6"/>
  <c r="O19" i="6"/>
  <c r="O17" i="6"/>
  <c r="O15" i="6"/>
  <c r="O13" i="6"/>
  <c r="O11" i="6"/>
  <c r="P394" i="6"/>
  <c r="P395" i="6" s="1"/>
  <c r="P390" i="6"/>
  <c r="P391" i="6" s="1"/>
  <c r="P387" i="6"/>
  <c r="P388" i="6" s="1"/>
  <c r="P384" i="6"/>
  <c r="P385" i="6" s="1"/>
  <c r="P381" i="6"/>
  <c r="P382" i="6" s="1"/>
  <c r="P378" i="6"/>
  <c r="P379" i="6" s="1"/>
  <c r="P375" i="6"/>
  <c r="P376" i="6" s="1"/>
  <c r="P372" i="6"/>
  <c r="P373" i="6" s="1"/>
  <c r="P368" i="6"/>
  <c r="P369" i="6" s="1"/>
  <c r="P284" i="6"/>
  <c r="P282" i="6"/>
  <c r="P280" i="6"/>
  <c r="P278" i="6"/>
  <c r="P276" i="6"/>
  <c r="P271" i="6"/>
  <c r="P269" i="6"/>
  <c r="P267" i="6"/>
  <c r="P262" i="6"/>
  <c r="P258" i="6"/>
  <c r="P256" i="6"/>
  <c r="P254" i="6"/>
  <c r="P252" i="6"/>
  <c r="P250" i="6"/>
  <c r="P248" i="6"/>
  <c r="P242" i="6"/>
  <c r="P238" i="6"/>
  <c r="P236" i="6"/>
  <c r="P234" i="6"/>
  <c r="P232" i="6"/>
  <c r="P230" i="6"/>
  <c r="P228" i="6"/>
  <c r="P223" i="6"/>
  <c r="P219" i="6"/>
  <c r="P217" i="6"/>
  <c r="P215" i="6"/>
  <c r="P213" i="6"/>
  <c r="P211" i="6"/>
  <c r="P209" i="6"/>
  <c r="P202" i="6"/>
  <c r="P200" i="6"/>
  <c r="P198" i="6"/>
  <c r="P196" i="6"/>
  <c r="P187" i="6"/>
  <c r="P185" i="6"/>
  <c r="P183" i="6"/>
  <c r="P181" i="6"/>
  <c r="P179" i="6"/>
  <c r="P174" i="6"/>
  <c r="P172" i="6"/>
  <c r="P170" i="6"/>
  <c r="P168" i="6"/>
  <c r="P166" i="6"/>
  <c r="P164" i="6"/>
  <c r="P159" i="6"/>
  <c r="P157" i="6"/>
  <c r="P155" i="6"/>
  <c r="P153" i="6"/>
  <c r="P151" i="6"/>
  <c r="P149" i="6"/>
  <c r="P144" i="6"/>
  <c r="P142" i="6"/>
  <c r="P140" i="6"/>
  <c r="P137" i="6"/>
  <c r="P135" i="6"/>
  <c r="P133" i="6"/>
  <c r="P130" i="6"/>
  <c r="P128" i="6"/>
  <c r="P126" i="6"/>
  <c r="P123" i="6"/>
  <c r="P121" i="6"/>
  <c r="P119" i="6"/>
  <c r="P116" i="6"/>
  <c r="P114" i="6"/>
  <c r="P112" i="6"/>
  <c r="P109" i="6"/>
  <c r="P107" i="6"/>
  <c r="P105" i="6"/>
  <c r="P51" i="6"/>
  <c r="P49" i="6"/>
  <c r="P47" i="6"/>
  <c r="P45" i="6"/>
  <c r="P43" i="6"/>
  <c r="P41" i="6"/>
  <c r="P36" i="6"/>
  <c r="P34" i="6"/>
  <c r="P32" i="6"/>
  <c r="P30" i="6"/>
  <c r="P28" i="6"/>
  <c r="P26" i="6"/>
  <c r="P21" i="6"/>
  <c r="P19" i="6"/>
  <c r="P17" i="6"/>
  <c r="P15" i="6"/>
  <c r="P13" i="6"/>
  <c r="P11" i="6"/>
  <c r="Q394" i="6"/>
  <c r="Q395" i="6" s="1"/>
  <c r="Q390" i="6"/>
  <c r="Q391" i="6" s="1"/>
  <c r="Q387" i="6"/>
  <c r="Q388" i="6" s="1"/>
  <c r="Q384" i="6"/>
  <c r="Q385" i="6" s="1"/>
  <c r="Q381" i="6"/>
  <c r="Q382" i="6" s="1"/>
  <c r="Q378" i="6"/>
  <c r="Q379" i="6" s="1"/>
  <c r="Q375" i="6"/>
  <c r="Q376" i="6" s="1"/>
  <c r="Q372" i="6"/>
  <c r="Q373" i="6" s="1"/>
  <c r="Q368" i="6"/>
  <c r="Q369" i="6" s="1"/>
  <c r="Q284" i="6"/>
  <c r="Q282" i="6"/>
  <c r="Q280" i="6"/>
  <c r="Q278" i="6"/>
  <c r="Q276" i="6"/>
  <c r="Q271" i="6"/>
  <c r="Q269" i="6"/>
  <c r="Q267" i="6"/>
  <c r="Q262" i="6"/>
  <c r="Q258" i="6"/>
  <c r="Q256" i="6"/>
  <c r="Q254" i="6"/>
  <c r="Q252" i="6"/>
  <c r="Q250" i="6"/>
  <c r="Q248" i="6"/>
  <c r="Q242" i="6"/>
  <c r="Q238" i="6"/>
  <c r="Q236" i="6"/>
  <c r="Q234" i="6"/>
  <c r="Q232" i="6"/>
  <c r="Q230" i="6"/>
  <c r="Q228" i="6"/>
  <c r="Q223" i="6"/>
  <c r="Q219" i="6"/>
  <c r="Q217" i="6"/>
  <c r="Q215" i="6"/>
  <c r="Q213" i="6"/>
  <c r="Q211" i="6"/>
  <c r="Q209" i="6"/>
  <c r="Q202" i="6"/>
  <c r="Q200" i="6"/>
  <c r="Q198" i="6"/>
  <c r="Q196" i="6"/>
  <c r="Q187" i="6"/>
  <c r="Q185" i="6"/>
  <c r="Q183" i="6"/>
  <c r="Q181" i="6"/>
  <c r="Q179" i="6"/>
  <c r="Q174" i="6"/>
  <c r="Q172" i="6"/>
  <c r="Q170" i="6"/>
  <c r="Q168" i="6"/>
  <c r="Q166" i="6"/>
  <c r="Q164" i="6"/>
  <c r="Q159" i="6"/>
  <c r="Q157" i="6"/>
  <c r="Q155" i="6"/>
  <c r="Q153" i="6"/>
  <c r="Q151" i="6"/>
  <c r="Q149" i="6"/>
  <c r="Q144" i="6"/>
  <c r="Q142" i="6"/>
  <c r="Q140" i="6"/>
  <c r="Q137" i="6"/>
  <c r="Q135" i="6"/>
  <c r="Q133" i="6"/>
  <c r="Q130" i="6"/>
  <c r="Q128" i="6"/>
  <c r="Q126" i="6"/>
  <c r="Q123" i="6"/>
  <c r="Q121" i="6"/>
  <c r="Q119" i="6"/>
  <c r="Q116" i="6"/>
  <c r="Q114" i="6"/>
  <c r="Q112" i="6"/>
  <c r="Q109" i="6"/>
  <c r="Q107" i="6"/>
  <c r="Q105" i="6"/>
  <c r="Q51" i="6"/>
  <c r="Q49" i="6"/>
  <c r="Q47" i="6"/>
  <c r="Q45" i="6"/>
  <c r="Q43" i="6"/>
  <c r="Q41" i="6"/>
  <c r="Q36" i="6"/>
  <c r="Q34" i="6"/>
  <c r="Q32" i="6"/>
  <c r="Q30" i="6"/>
  <c r="Q28" i="6"/>
  <c r="Q26" i="6"/>
  <c r="Q21" i="6"/>
  <c r="Q19" i="6"/>
  <c r="Q17" i="6"/>
  <c r="Q15" i="6"/>
  <c r="Q13" i="6"/>
  <c r="Q11" i="6"/>
  <c r="Y400" i="6"/>
  <c r="W396" i="6"/>
  <c r="W394" i="6"/>
  <c r="W395" i="6" s="1"/>
  <c r="V394" i="6"/>
  <c r="V395" i="6" s="1"/>
  <c r="U394" i="6"/>
  <c r="U395" i="6" s="1"/>
  <c r="T394" i="6"/>
  <c r="T395" i="6" s="1"/>
  <c r="S394" i="6"/>
  <c r="S395" i="6" s="1"/>
  <c r="R394" i="6"/>
  <c r="R395" i="6" s="1"/>
  <c r="N394" i="6"/>
  <c r="N395" i="6" s="1"/>
  <c r="M394" i="6"/>
  <c r="M395" i="6" s="1"/>
  <c r="L394" i="6"/>
  <c r="L395" i="6" s="1"/>
  <c r="Y392" i="6"/>
  <c r="W390" i="6"/>
  <c r="W391" i="6" s="1"/>
  <c r="V390" i="6"/>
  <c r="V391" i="6" s="1"/>
  <c r="U390" i="6"/>
  <c r="U391" i="6" s="1"/>
  <c r="T390" i="6"/>
  <c r="T391" i="6" s="1"/>
  <c r="S390" i="6"/>
  <c r="S391" i="6" s="1"/>
  <c r="R390" i="6"/>
  <c r="R391" i="6" s="1"/>
  <c r="N390" i="6"/>
  <c r="N391" i="6" s="1"/>
  <c r="M390" i="6"/>
  <c r="M391" i="6" s="1"/>
  <c r="L390" i="6"/>
  <c r="L391" i="6" s="1"/>
  <c r="Y389" i="6"/>
  <c r="W387" i="6"/>
  <c r="W388" i="6" s="1"/>
  <c r="V387" i="6"/>
  <c r="V388" i="6" s="1"/>
  <c r="U387" i="6"/>
  <c r="U388" i="6" s="1"/>
  <c r="T387" i="6"/>
  <c r="T388" i="6" s="1"/>
  <c r="S387" i="6"/>
  <c r="S388" i="6" s="1"/>
  <c r="R387" i="6"/>
  <c r="R388" i="6" s="1"/>
  <c r="N387" i="6"/>
  <c r="N388" i="6" s="1"/>
  <c r="M387" i="6"/>
  <c r="M388" i="6" s="1"/>
  <c r="L387" i="6"/>
  <c r="L388" i="6" s="1"/>
  <c r="Y386" i="6"/>
  <c r="W384" i="6"/>
  <c r="W385" i="6" s="1"/>
  <c r="V384" i="6"/>
  <c r="V385" i="6" s="1"/>
  <c r="U384" i="6"/>
  <c r="U385" i="6" s="1"/>
  <c r="T384" i="6"/>
  <c r="T385" i="6" s="1"/>
  <c r="S384" i="6"/>
  <c r="S385" i="6" s="1"/>
  <c r="R384" i="6"/>
  <c r="R385" i="6" s="1"/>
  <c r="N384" i="6"/>
  <c r="N385" i="6" s="1"/>
  <c r="M384" i="6"/>
  <c r="M385" i="6" s="1"/>
  <c r="L384" i="6"/>
  <c r="L385" i="6" s="1"/>
  <c r="Y383" i="6"/>
  <c r="W381" i="6"/>
  <c r="W382" i="6" s="1"/>
  <c r="V381" i="6"/>
  <c r="V382" i="6" s="1"/>
  <c r="U381" i="6"/>
  <c r="U382" i="6" s="1"/>
  <c r="T381" i="6"/>
  <c r="T382" i="6" s="1"/>
  <c r="S381" i="6"/>
  <c r="S382" i="6" s="1"/>
  <c r="R381" i="6"/>
  <c r="R382" i="6" s="1"/>
  <c r="N381" i="6"/>
  <c r="N382" i="6" s="1"/>
  <c r="M381" i="6"/>
  <c r="M382" i="6" s="1"/>
  <c r="L381" i="6"/>
  <c r="L382" i="6" s="1"/>
  <c r="Y380" i="6"/>
  <c r="W378" i="6"/>
  <c r="W379" i="6" s="1"/>
  <c r="V378" i="6"/>
  <c r="V379" i="6" s="1"/>
  <c r="U378" i="6"/>
  <c r="U379" i="6" s="1"/>
  <c r="T378" i="6"/>
  <c r="T379" i="6" s="1"/>
  <c r="S378" i="6"/>
  <c r="S379" i="6" s="1"/>
  <c r="R378" i="6"/>
  <c r="R379" i="6" s="1"/>
  <c r="N378" i="6"/>
  <c r="N379" i="6" s="1"/>
  <c r="M378" i="6"/>
  <c r="M379" i="6" s="1"/>
  <c r="L378" i="6"/>
  <c r="L379" i="6" s="1"/>
  <c r="Y377" i="6"/>
  <c r="W375" i="6"/>
  <c r="W376" i="6" s="1"/>
  <c r="V375" i="6"/>
  <c r="V376" i="6" s="1"/>
  <c r="U375" i="6"/>
  <c r="U376" i="6" s="1"/>
  <c r="T375" i="6"/>
  <c r="T376" i="6" s="1"/>
  <c r="S375" i="6"/>
  <c r="S376" i="6" s="1"/>
  <c r="R375" i="6"/>
  <c r="R376" i="6" s="1"/>
  <c r="N375" i="6"/>
  <c r="N376" i="6" s="1"/>
  <c r="M375" i="6"/>
  <c r="M376" i="6" s="1"/>
  <c r="L375" i="6"/>
  <c r="L376" i="6" s="1"/>
  <c r="Y374" i="6"/>
  <c r="W372" i="6"/>
  <c r="W373" i="6" s="1"/>
  <c r="V372" i="6"/>
  <c r="V373" i="6" s="1"/>
  <c r="U372" i="6"/>
  <c r="U373" i="6" s="1"/>
  <c r="T372" i="6"/>
  <c r="T373" i="6" s="1"/>
  <c r="S372" i="6"/>
  <c r="S373" i="6" s="1"/>
  <c r="R372" i="6"/>
  <c r="R373" i="6" s="1"/>
  <c r="N372" i="6"/>
  <c r="N373" i="6" s="1"/>
  <c r="M372" i="6"/>
  <c r="M373" i="6" s="1"/>
  <c r="L372" i="6"/>
  <c r="L373" i="6" s="1"/>
  <c r="W370" i="6"/>
  <c r="W368" i="6"/>
  <c r="W369" i="6" s="1"/>
  <c r="V368" i="6"/>
  <c r="V369" i="6" s="1"/>
  <c r="U368" i="6"/>
  <c r="U369" i="6" s="1"/>
  <c r="T368" i="6"/>
  <c r="T369" i="6" s="1"/>
  <c r="S368" i="6"/>
  <c r="S369" i="6" s="1"/>
  <c r="R368" i="6"/>
  <c r="R369" i="6" s="1"/>
  <c r="N368" i="6"/>
  <c r="N369" i="6" s="1"/>
  <c r="M368" i="6"/>
  <c r="M369" i="6" s="1"/>
  <c r="L368" i="6"/>
  <c r="Y366" i="6"/>
  <c r="Y364" i="6"/>
  <c r="W361" i="6"/>
  <c r="Y355" i="6"/>
  <c r="Y352" i="6"/>
  <c r="W348" i="6"/>
  <c r="Y342" i="6"/>
  <c r="Y339" i="6"/>
  <c r="Y336" i="6"/>
  <c r="W332" i="6"/>
  <c r="Y326" i="6"/>
  <c r="Y323" i="6"/>
  <c r="Y320" i="6"/>
  <c r="W316" i="6"/>
  <c r="Y310" i="6"/>
  <c r="Y307" i="6"/>
  <c r="W303" i="6"/>
  <c r="Y297" i="6"/>
  <c r="Y294" i="6"/>
  <c r="W290" i="6"/>
  <c r="W284" i="6"/>
  <c r="V284" i="6"/>
  <c r="U284" i="6"/>
  <c r="T284" i="6"/>
  <c r="S284" i="6"/>
  <c r="R284" i="6"/>
  <c r="N284" i="6"/>
  <c r="M284" i="6"/>
  <c r="L284" i="6"/>
  <c r="Y283" i="6"/>
  <c r="W282" i="6"/>
  <c r="V282" i="6"/>
  <c r="U282" i="6"/>
  <c r="T282" i="6"/>
  <c r="S282" i="6"/>
  <c r="R282" i="6"/>
  <c r="N282" i="6"/>
  <c r="M282" i="6"/>
  <c r="L282" i="6"/>
  <c r="Y281" i="6"/>
  <c r="W280" i="6"/>
  <c r="V280" i="6"/>
  <c r="U280" i="6"/>
  <c r="T280" i="6"/>
  <c r="S280" i="6"/>
  <c r="R280" i="6"/>
  <c r="N280" i="6"/>
  <c r="M280" i="6"/>
  <c r="L280" i="6"/>
  <c r="Y279" i="6"/>
  <c r="W278" i="6"/>
  <c r="V278" i="6"/>
  <c r="U278" i="6"/>
  <c r="T278" i="6"/>
  <c r="S278" i="6"/>
  <c r="R278" i="6"/>
  <c r="N278" i="6"/>
  <c r="M278" i="6"/>
  <c r="L278" i="6"/>
  <c r="Y277" i="6"/>
  <c r="W276" i="6"/>
  <c r="V276" i="6"/>
  <c r="U276" i="6"/>
  <c r="T276" i="6"/>
  <c r="S276" i="6"/>
  <c r="R276" i="6"/>
  <c r="N276" i="6"/>
  <c r="M276" i="6"/>
  <c r="L276" i="6"/>
  <c r="Y275" i="6"/>
  <c r="W271" i="6"/>
  <c r="V271" i="6"/>
  <c r="U271" i="6"/>
  <c r="T271" i="6"/>
  <c r="S271" i="6"/>
  <c r="R271" i="6"/>
  <c r="N271" i="6"/>
  <c r="M271" i="6"/>
  <c r="L271" i="6"/>
  <c r="Y270" i="6"/>
  <c r="W269" i="6"/>
  <c r="V269" i="6"/>
  <c r="U269" i="6"/>
  <c r="T269" i="6"/>
  <c r="S269" i="6"/>
  <c r="R269" i="6"/>
  <c r="N269" i="6"/>
  <c r="M269" i="6"/>
  <c r="L269" i="6"/>
  <c r="Y268" i="6"/>
  <c r="W267" i="6"/>
  <c r="V267" i="6"/>
  <c r="U267" i="6"/>
  <c r="T267" i="6"/>
  <c r="S267" i="6"/>
  <c r="R267" i="6"/>
  <c r="N267" i="6"/>
  <c r="M267" i="6"/>
  <c r="L267" i="6"/>
  <c r="Y266" i="6"/>
  <c r="W262" i="6"/>
  <c r="V262" i="6"/>
  <c r="U262" i="6"/>
  <c r="T262" i="6"/>
  <c r="S262" i="6"/>
  <c r="R262" i="6"/>
  <c r="N262" i="6"/>
  <c r="M262" i="6"/>
  <c r="L262" i="6"/>
  <c r="Y261" i="6"/>
  <c r="W258" i="6"/>
  <c r="V258" i="6"/>
  <c r="U258" i="6"/>
  <c r="T258" i="6"/>
  <c r="S258" i="6"/>
  <c r="R258" i="6"/>
  <c r="N258" i="6"/>
  <c r="M258" i="6"/>
  <c r="L258" i="6"/>
  <c r="Y257" i="6"/>
  <c r="W256" i="6"/>
  <c r="V256" i="6"/>
  <c r="U256" i="6"/>
  <c r="T256" i="6"/>
  <c r="S256" i="6"/>
  <c r="R256" i="6"/>
  <c r="N256" i="6"/>
  <c r="M256" i="6"/>
  <c r="L256" i="6"/>
  <c r="Y255" i="6"/>
  <c r="W254" i="6"/>
  <c r="V254" i="6"/>
  <c r="U254" i="6"/>
  <c r="T254" i="6"/>
  <c r="S254" i="6"/>
  <c r="R254" i="6"/>
  <c r="N254" i="6"/>
  <c r="M254" i="6"/>
  <c r="L254" i="6"/>
  <c r="Y253" i="6"/>
  <c r="W252" i="6"/>
  <c r="V252" i="6"/>
  <c r="U252" i="6"/>
  <c r="T252" i="6"/>
  <c r="S252" i="6"/>
  <c r="R252" i="6"/>
  <c r="N252" i="6"/>
  <c r="M252" i="6"/>
  <c r="L252" i="6"/>
  <c r="Y251" i="6"/>
  <c r="W250" i="6"/>
  <c r="V250" i="6"/>
  <c r="U250" i="6"/>
  <c r="T250" i="6"/>
  <c r="S250" i="6"/>
  <c r="R250" i="6"/>
  <c r="N250" i="6"/>
  <c r="M250" i="6"/>
  <c r="L250" i="6"/>
  <c r="Y249" i="6"/>
  <c r="W248" i="6"/>
  <c r="V248" i="6"/>
  <c r="U248" i="6"/>
  <c r="T248" i="6"/>
  <c r="S248" i="6"/>
  <c r="R248" i="6"/>
  <c r="N248" i="6"/>
  <c r="M248" i="6"/>
  <c r="L248" i="6"/>
  <c r="Y247" i="6"/>
  <c r="W242" i="6"/>
  <c r="V242" i="6"/>
  <c r="U242" i="6"/>
  <c r="T242" i="6"/>
  <c r="S242" i="6"/>
  <c r="R242" i="6"/>
  <c r="N242" i="6"/>
  <c r="M242" i="6"/>
  <c r="L242" i="6"/>
  <c r="Y241" i="6"/>
  <c r="W238" i="6"/>
  <c r="V238" i="6"/>
  <c r="U238" i="6"/>
  <c r="T238" i="6"/>
  <c r="S238" i="6"/>
  <c r="R238" i="6"/>
  <c r="N238" i="6"/>
  <c r="M238" i="6"/>
  <c r="L238" i="6"/>
  <c r="Y237" i="6"/>
  <c r="W236" i="6"/>
  <c r="V236" i="6"/>
  <c r="U236" i="6"/>
  <c r="T236" i="6"/>
  <c r="S236" i="6"/>
  <c r="R236" i="6"/>
  <c r="N236" i="6"/>
  <c r="M236" i="6"/>
  <c r="L236" i="6"/>
  <c r="Y235" i="6"/>
  <c r="W234" i="6"/>
  <c r="V234" i="6"/>
  <c r="U234" i="6"/>
  <c r="T234" i="6"/>
  <c r="S234" i="6"/>
  <c r="R234" i="6"/>
  <c r="N234" i="6"/>
  <c r="M234" i="6"/>
  <c r="L234" i="6"/>
  <c r="Y233" i="6"/>
  <c r="W232" i="6"/>
  <c r="V232" i="6"/>
  <c r="U232" i="6"/>
  <c r="T232" i="6"/>
  <c r="S232" i="6"/>
  <c r="R232" i="6"/>
  <c r="N232" i="6"/>
  <c r="M232" i="6"/>
  <c r="L232" i="6"/>
  <c r="Y231" i="6"/>
  <c r="W230" i="6"/>
  <c r="V230" i="6"/>
  <c r="U230" i="6"/>
  <c r="T230" i="6"/>
  <c r="S230" i="6"/>
  <c r="R230" i="6"/>
  <c r="N230" i="6"/>
  <c r="M230" i="6"/>
  <c r="L230" i="6"/>
  <c r="Y229" i="6"/>
  <c r="W228" i="6"/>
  <c r="V228" i="6"/>
  <c r="U228" i="6"/>
  <c r="T228" i="6"/>
  <c r="S228" i="6"/>
  <c r="R228" i="6"/>
  <c r="N228" i="6"/>
  <c r="M228" i="6"/>
  <c r="L228" i="6"/>
  <c r="Y227" i="6"/>
  <c r="W223" i="6"/>
  <c r="V223" i="6"/>
  <c r="U223" i="6"/>
  <c r="T223" i="6"/>
  <c r="S223" i="6"/>
  <c r="R223" i="6"/>
  <c r="N223" i="6"/>
  <c r="M223" i="6"/>
  <c r="L223" i="6"/>
  <c r="Y222" i="6"/>
  <c r="W219" i="6"/>
  <c r="V219" i="6"/>
  <c r="U219" i="6"/>
  <c r="T219" i="6"/>
  <c r="S219" i="6"/>
  <c r="R219" i="6"/>
  <c r="N219" i="6"/>
  <c r="M219" i="6"/>
  <c r="L219" i="6"/>
  <c r="Y218" i="6"/>
  <c r="W217" i="6"/>
  <c r="V217" i="6"/>
  <c r="U217" i="6"/>
  <c r="T217" i="6"/>
  <c r="S217" i="6"/>
  <c r="R217" i="6"/>
  <c r="N217" i="6"/>
  <c r="M217" i="6"/>
  <c r="L217" i="6"/>
  <c r="Y216" i="6"/>
  <c r="W215" i="6"/>
  <c r="V215" i="6"/>
  <c r="U215" i="6"/>
  <c r="T215" i="6"/>
  <c r="S215" i="6"/>
  <c r="R215" i="6"/>
  <c r="N215" i="6"/>
  <c r="M215" i="6"/>
  <c r="L215" i="6"/>
  <c r="Y214" i="6"/>
  <c r="W213" i="6"/>
  <c r="V213" i="6"/>
  <c r="U213" i="6"/>
  <c r="T213" i="6"/>
  <c r="S213" i="6"/>
  <c r="R213" i="6"/>
  <c r="N213" i="6"/>
  <c r="M213" i="6"/>
  <c r="L213" i="6"/>
  <c r="Y212" i="6"/>
  <c r="W211" i="6"/>
  <c r="V211" i="6"/>
  <c r="U211" i="6"/>
  <c r="T211" i="6"/>
  <c r="S211" i="6"/>
  <c r="R211" i="6"/>
  <c r="N211" i="6"/>
  <c r="M211" i="6"/>
  <c r="L211" i="6"/>
  <c r="Y210" i="6"/>
  <c r="W209" i="6"/>
  <c r="V209" i="6"/>
  <c r="U209" i="6"/>
  <c r="T209" i="6"/>
  <c r="S209" i="6"/>
  <c r="R209" i="6"/>
  <c r="N209" i="6"/>
  <c r="M209" i="6"/>
  <c r="L209" i="6"/>
  <c r="Y208" i="6"/>
  <c r="W206" i="6"/>
  <c r="W202" i="6"/>
  <c r="V202" i="6"/>
  <c r="U202" i="6"/>
  <c r="T202" i="6"/>
  <c r="S202" i="6"/>
  <c r="R202" i="6"/>
  <c r="N202" i="6"/>
  <c r="M202" i="6"/>
  <c r="L202" i="6"/>
  <c r="Y201" i="6"/>
  <c r="W200" i="6"/>
  <c r="V200" i="6"/>
  <c r="U200" i="6"/>
  <c r="T200" i="6"/>
  <c r="S200" i="6"/>
  <c r="R200" i="6"/>
  <c r="N200" i="6"/>
  <c r="M200" i="6"/>
  <c r="L200" i="6"/>
  <c r="Y199" i="6"/>
  <c r="W198" i="6"/>
  <c r="V198" i="6"/>
  <c r="U198" i="6"/>
  <c r="T198" i="6"/>
  <c r="S198" i="6"/>
  <c r="R198" i="6"/>
  <c r="N198" i="6"/>
  <c r="M198" i="6"/>
  <c r="L198" i="6"/>
  <c r="Y197" i="6"/>
  <c r="W196" i="6"/>
  <c r="V196" i="6"/>
  <c r="U196" i="6"/>
  <c r="T196" i="6"/>
  <c r="S196" i="6"/>
  <c r="R196" i="6"/>
  <c r="N196" i="6"/>
  <c r="M196" i="6"/>
  <c r="L196" i="6"/>
  <c r="Y195" i="6"/>
  <c r="W193" i="6"/>
  <c r="W187" i="6"/>
  <c r="V187" i="6"/>
  <c r="U187" i="6"/>
  <c r="T187" i="6"/>
  <c r="S187" i="6"/>
  <c r="R187" i="6"/>
  <c r="N187" i="6"/>
  <c r="M187" i="6"/>
  <c r="L187" i="6"/>
  <c r="Y186" i="6"/>
  <c r="W185" i="6"/>
  <c r="V185" i="6"/>
  <c r="U185" i="6"/>
  <c r="T185" i="6"/>
  <c r="S185" i="6"/>
  <c r="R185" i="6"/>
  <c r="N185" i="6"/>
  <c r="M185" i="6"/>
  <c r="L185" i="6"/>
  <c r="Y184" i="6"/>
  <c r="W183" i="6"/>
  <c r="V183" i="6"/>
  <c r="U183" i="6"/>
  <c r="T183" i="6"/>
  <c r="S183" i="6"/>
  <c r="R183" i="6"/>
  <c r="N183" i="6"/>
  <c r="M183" i="6"/>
  <c r="L183" i="6"/>
  <c r="Y182" i="6"/>
  <c r="W181" i="6"/>
  <c r="V181" i="6"/>
  <c r="U181" i="6"/>
  <c r="T181" i="6"/>
  <c r="S181" i="6"/>
  <c r="R181" i="6"/>
  <c r="N181" i="6"/>
  <c r="M181" i="6"/>
  <c r="L181" i="6"/>
  <c r="Y180" i="6"/>
  <c r="W179" i="6"/>
  <c r="V179" i="6"/>
  <c r="U179" i="6"/>
  <c r="T179" i="6"/>
  <c r="S179" i="6"/>
  <c r="R179" i="6"/>
  <c r="N179" i="6"/>
  <c r="M179" i="6"/>
  <c r="L179" i="6"/>
  <c r="Y178" i="6"/>
  <c r="W174" i="6"/>
  <c r="V174" i="6"/>
  <c r="U174" i="6"/>
  <c r="T174" i="6"/>
  <c r="S174" i="6"/>
  <c r="R174" i="6"/>
  <c r="N174" i="6"/>
  <c r="M174" i="6"/>
  <c r="L174" i="6"/>
  <c r="Y173" i="6"/>
  <c r="W172" i="6"/>
  <c r="V172" i="6"/>
  <c r="U172" i="6"/>
  <c r="T172" i="6"/>
  <c r="S172" i="6"/>
  <c r="R172" i="6"/>
  <c r="N172" i="6"/>
  <c r="M172" i="6"/>
  <c r="L172" i="6"/>
  <c r="Y171" i="6"/>
  <c r="W170" i="6"/>
  <c r="V170" i="6"/>
  <c r="U170" i="6"/>
  <c r="T170" i="6"/>
  <c r="S170" i="6"/>
  <c r="R170" i="6"/>
  <c r="N170" i="6"/>
  <c r="M170" i="6"/>
  <c r="L170" i="6"/>
  <c r="Y169" i="6"/>
  <c r="W168" i="6"/>
  <c r="V168" i="6"/>
  <c r="U168" i="6"/>
  <c r="T168" i="6"/>
  <c r="S168" i="6"/>
  <c r="R168" i="6"/>
  <c r="N168" i="6"/>
  <c r="M168" i="6"/>
  <c r="L168" i="6"/>
  <c r="Y167" i="6"/>
  <c r="W166" i="6"/>
  <c r="V166" i="6"/>
  <c r="U166" i="6"/>
  <c r="T166" i="6"/>
  <c r="S166" i="6"/>
  <c r="R166" i="6"/>
  <c r="N166" i="6"/>
  <c r="M166" i="6"/>
  <c r="L166" i="6"/>
  <c r="Y165" i="6"/>
  <c r="W164" i="6"/>
  <c r="V164" i="6"/>
  <c r="U164" i="6"/>
  <c r="T164" i="6"/>
  <c r="S164" i="6"/>
  <c r="R164" i="6"/>
  <c r="N164" i="6"/>
  <c r="M164" i="6"/>
  <c r="L164" i="6"/>
  <c r="Y163" i="6"/>
  <c r="W159" i="6"/>
  <c r="V159" i="6"/>
  <c r="U159" i="6"/>
  <c r="T159" i="6"/>
  <c r="S159" i="6"/>
  <c r="R159" i="6"/>
  <c r="N159" i="6"/>
  <c r="M159" i="6"/>
  <c r="L159" i="6"/>
  <c r="Y158" i="6"/>
  <c r="W157" i="6"/>
  <c r="V157" i="6"/>
  <c r="U157" i="6"/>
  <c r="T157" i="6"/>
  <c r="S157" i="6"/>
  <c r="R157" i="6"/>
  <c r="N157" i="6"/>
  <c r="M157" i="6"/>
  <c r="L157" i="6"/>
  <c r="Y156" i="6"/>
  <c r="W155" i="6"/>
  <c r="V155" i="6"/>
  <c r="U155" i="6"/>
  <c r="T155" i="6"/>
  <c r="S155" i="6"/>
  <c r="R155" i="6"/>
  <c r="N155" i="6"/>
  <c r="M155" i="6"/>
  <c r="L155" i="6"/>
  <c r="Y154" i="6"/>
  <c r="W153" i="6"/>
  <c r="V153" i="6"/>
  <c r="U153" i="6"/>
  <c r="T153" i="6"/>
  <c r="S153" i="6"/>
  <c r="R153" i="6"/>
  <c r="N153" i="6"/>
  <c r="M153" i="6"/>
  <c r="L153" i="6"/>
  <c r="Y152" i="6"/>
  <c r="W151" i="6"/>
  <c r="V151" i="6"/>
  <c r="U151" i="6"/>
  <c r="T151" i="6"/>
  <c r="S151" i="6"/>
  <c r="R151" i="6"/>
  <c r="N151" i="6"/>
  <c r="M151" i="6"/>
  <c r="L151" i="6"/>
  <c r="Y150" i="6"/>
  <c r="W149" i="6"/>
  <c r="V149" i="6"/>
  <c r="U149" i="6"/>
  <c r="T149" i="6"/>
  <c r="S149" i="6"/>
  <c r="R149" i="6"/>
  <c r="N149" i="6"/>
  <c r="M149" i="6"/>
  <c r="L149" i="6"/>
  <c r="Y148" i="6"/>
  <c r="W144" i="6"/>
  <c r="V144" i="6"/>
  <c r="U144" i="6"/>
  <c r="T144" i="6"/>
  <c r="S144" i="6"/>
  <c r="R144" i="6"/>
  <c r="N144" i="6"/>
  <c r="M144" i="6"/>
  <c r="L144" i="6"/>
  <c r="Y143" i="6"/>
  <c r="W142" i="6"/>
  <c r="V142" i="6"/>
  <c r="U142" i="6"/>
  <c r="T142" i="6"/>
  <c r="S142" i="6"/>
  <c r="R142" i="6"/>
  <c r="N142" i="6"/>
  <c r="M142" i="6"/>
  <c r="L142" i="6"/>
  <c r="Y141" i="6"/>
  <c r="W140" i="6"/>
  <c r="V140" i="6"/>
  <c r="U140" i="6"/>
  <c r="T140" i="6"/>
  <c r="S140" i="6"/>
  <c r="R140" i="6"/>
  <c r="N140" i="6"/>
  <c r="M140" i="6"/>
  <c r="L140" i="6"/>
  <c r="Y139" i="6"/>
  <c r="W137" i="6"/>
  <c r="V137" i="6"/>
  <c r="U137" i="6"/>
  <c r="T137" i="6"/>
  <c r="S137" i="6"/>
  <c r="R137" i="6"/>
  <c r="N137" i="6"/>
  <c r="M137" i="6"/>
  <c r="L137" i="6"/>
  <c r="Y136" i="6"/>
  <c r="W135" i="6"/>
  <c r="V135" i="6"/>
  <c r="U135" i="6"/>
  <c r="T135" i="6"/>
  <c r="S135" i="6"/>
  <c r="R135" i="6"/>
  <c r="N135" i="6"/>
  <c r="M135" i="6"/>
  <c r="L135" i="6"/>
  <c r="Y134" i="6"/>
  <c r="W133" i="6"/>
  <c r="V133" i="6"/>
  <c r="U133" i="6"/>
  <c r="T133" i="6"/>
  <c r="S133" i="6"/>
  <c r="R133" i="6"/>
  <c r="N133" i="6"/>
  <c r="M133" i="6"/>
  <c r="L133" i="6"/>
  <c r="Y132" i="6"/>
  <c r="W130" i="6"/>
  <c r="V130" i="6"/>
  <c r="U130" i="6"/>
  <c r="T130" i="6"/>
  <c r="S130" i="6"/>
  <c r="R130" i="6"/>
  <c r="N130" i="6"/>
  <c r="M130" i="6"/>
  <c r="L130" i="6"/>
  <c r="Y129" i="6"/>
  <c r="W128" i="6"/>
  <c r="V128" i="6"/>
  <c r="U128" i="6"/>
  <c r="T128" i="6"/>
  <c r="S128" i="6"/>
  <c r="R128" i="6"/>
  <c r="N128" i="6"/>
  <c r="M128" i="6"/>
  <c r="L128" i="6"/>
  <c r="Y127" i="6"/>
  <c r="W126" i="6"/>
  <c r="V126" i="6"/>
  <c r="U126" i="6"/>
  <c r="T126" i="6"/>
  <c r="S126" i="6"/>
  <c r="R126" i="6"/>
  <c r="N126" i="6"/>
  <c r="M126" i="6"/>
  <c r="L126" i="6"/>
  <c r="Y125" i="6"/>
  <c r="W123" i="6"/>
  <c r="V123" i="6"/>
  <c r="U123" i="6"/>
  <c r="T123" i="6"/>
  <c r="S123" i="6"/>
  <c r="R123" i="6"/>
  <c r="N123" i="6"/>
  <c r="M123" i="6"/>
  <c r="L123" i="6"/>
  <c r="Y122" i="6"/>
  <c r="W121" i="6"/>
  <c r="V121" i="6"/>
  <c r="U121" i="6"/>
  <c r="T121" i="6"/>
  <c r="S121" i="6"/>
  <c r="R121" i="6"/>
  <c r="N121" i="6"/>
  <c r="M121" i="6"/>
  <c r="L121" i="6"/>
  <c r="Y120" i="6"/>
  <c r="W119" i="6"/>
  <c r="V119" i="6"/>
  <c r="U119" i="6"/>
  <c r="T119" i="6"/>
  <c r="S119" i="6"/>
  <c r="R119" i="6"/>
  <c r="N119" i="6"/>
  <c r="M119" i="6"/>
  <c r="L119" i="6"/>
  <c r="Y118" i="6"/>
  <c r="W116" i="6"/>
  <c r="V116" i="6"/>
  <c r="U116" i="6"/>
  <c r="T116" i="6"/>
  <c r="S116" i="6"/>
  <c r="R116" i="6"/>
  <c r="N116" i="6"/>
  <c r="M116" i="6"/>
  <c r="L116" i="6"/>
  <c r="Y115" i="6"/>
  <c r="W114" i="6"/>
  <c r="V114" i="6"/>
  <c r="U114" i="6"/>
  <c r="T114" i="6"/>
  <c r="S114" i="6"/>
  <c r="R114" i="6"/>
  <c r="N114" i="6"/>
  <c r="M114" i="6"/>
  <c r="L114" i="6"/>
  <c r="Y113" i="6"/>
  <c r="W112" i="6"/>
  <c r="V112" i="6"/>
  <c r="U112" i="6"/>
  <c r="T112" i="6"/>
  <c r="S112" i="6"/>
  <c r="R112" i="6"/>
  <c r="N112" i="6"/>
  <c r="M112" i="6"/>
  <c r="L112" i="6"/>
  <c r="Y111" i="6"/>
  <c r="W109" i="6"/>
  <c r="V109" i="6"/>
  <c r="U109" i="6"/>
  <c r="T109" i="6"/>
  <c r="S109" i="6"/>
  <c r="R109" i="6"/>
  <c r="N109" i="6"/>
  <c r="M109" i="6"/>
  <c r="L109" i="6"/>
  <c r="Y108" i="6"/>
  <c r="W107" i="6"/>
  <c r="V107" i="6"/>
  <c r="U107" i="6"/>
  <c r="T107" i="6"/>
  <c r="S107" i="6"/>
  <c r="R107" i="6"/>
  <c r="N107" i="6"/>
  <c r="M107" i="6"/>
  <c r="L107" i="6"/>
  <c r="Y106" i="6"/>
  <c r="W105" i="6"/>
  <c r="V105" i="6"/>
  <c r="U105" i="6"/>
  <c r="T105" i="6"/>
  <c r="S105" i="6"/>
  <c r="R105" i="6"/>
  <c r="N105" i="6"/>
  <c r="M105" i="6"/>
  <c r="L105" i="6"/>
  <c r="Y104" i="6"/>
  <c r="W102" i="6"/>
  <c r="Y96" i="6"/>
  <c r="Y93" i="6"/>
  <c r="W89" i="6"/>
  <c r="Y74" i="6"/>
  <c r="W70" i="6"/>
  <c r="Y64" i="6"/>
  <c r="Y61" i="6"/>
  <c r="W57" i="6"/>
  <c r="W51" i="6"/>
  <c r="V51" i="6"/>
  <c r="U51" i="6"/>
  <c r="T51" i="6"/>
  <c r="S51" i="6"/>
  <c r="R51" i="6"/>
  <c r="N51" i="6"/>
  <c r="M51" i="6"/>
  <c r="L51" i="6"/>
  <c r="Y50" i="6"/>
  <c r="W49" i="6"/>
  <c r="V49" i="6"/>
  <c r="U49" i="6"/>
  <c r="T49" i="6"/>
  <c r="S49" i="6"/>
  <c r="R49" i="6"/>
  <c r="N49" i="6"/>
  <c r="M49" i="6"/>
  <c r="L49" i="6"/>
  <c r="Y48" i="6"/>
  <c r="W47" i="6"/>
  <c r="V47" i="6"/>
  <c r="U47" i="6"/>
  <c r="T47" i="6"/>
  <c r="S47" i="6"/>
  <c r="R47" i="6"/>
  <c r="N47" i="6"/>
  <c r="M47" i="6"/>
  <c r="L47" i="6"/>
  <c r="Y46" i="6"/>
  <c r="W45" i="6"/>
  <c r="V45" i="6"/>
  <c r="U45" i="6"/>
  <c r="T45" i="6"/>
  <c r="S45" i="6"/>
  <c r="R45" i="6"/>
  <c r="N45" i="6"/>
  <c r="M45" i="6"/>
  <c r="L45" i="6"/>
  <c r="Y44" i="6"/>
  <c r="W43" i="6"/>
  <c r="V43" i="6"/>
  <c r="U43" i="6"/>
  <c r="T43" i="6"/>
  <c r="S43" i="6"/>
  <c r="R43" i="6"/>
  <c r="N43" i="6"/>
  <c r="M43" i="6"/>
  <c r="L43" i="6"/>
  <c r="Y42" i="6"/>
  <c r="W41" i="6"/>
  <c r="V41" i="6"/>
  <c r="U41" i="6"/>
  <c r="T41" i="6"/>
  <c r="S41" i="6"/>
  <c r="R41" i="6"/>
  <c r="N41" i="6"/>
  <c r="M41" i="6"/>
  <c r="L41" i="6"/>
  <c r="Y40" i="6"/>
  <c r="W36" i="6"/>
  <c r="V36" i="6"/>
  <c r="U36" i="6"/>
  <c r="T36" i="6"/>
  <c r="S36" i="6"/>
  <c r="R36" i="6"/>
  <c r="N36" i="6"/>
  <c r="M36" i="6"/>
  <c r="L36" i="6"/>
  <c r="Y35" i="6"/>
  <c r="W34" i="6"/>
  <c r="V34" i="6"/>
  <c r="U34" i="6"/>
  <c r="T34" i="6"/>
  <c r="S34" i="6"/>
  <c r="R34" i="6"/>
  <c r="N34" i="6"/>
  <c r="M34" i="6"/>
  <c r="L34" i="6"/>
  <c r="Y33" i="6"/>
  <c r="W32" i="6"/>
  <c r="V32" i="6"/>
  <c r="U32" i="6"/>
  <c r="T32" i="6"/>
  <c r="S32" i="6"/>
  <c r="R32" i="6"/>
  <c r="N32" i="6"/>
  <c r="M32" i="6"/>
  <c r="L32" i="6"/>
  <c r="Y31" i="6"/>
  <c r="W30" i="6"/>
  <c r="V30" i="6"/>
  <c r="U30" i="6"/>
  <c r="T30" i="6"/>
  <c r="S30" i="6"/>
  <c r="R30" i="6"/>
  <c r="N30" i="6"/>
  <c r="M30" i="6"/>
  <c r="L30" i="6"/>
  <c r="Y29" i="6"/>
  <c r="W28" i="6"/>
  <c r="V28" i="6"/>
  <c r="U28" i="6"/>
  <c r="T28" i="6"/>
  <c r="S28" i="6"/>
  <c r="R28" i="6"/>
  <c r="N28" i="6"/>
  <c r="M28" i="6"/>
  <c r="L28" i="6"/>
  <c r="Y27" i="6"/>
  <c r="W26" i="6"/>
  <c r="V26" i="6"/>
  <c r="U26" i="6"/>
  <c r="T26" i="6"/>
  <c r="S26" i="6"/>
  <c r="R26" i="6"/>
  <c r="N26" i="6"/>
  <c r="M26" i="6"/>
  <c r="L26" i="6"/>
  <c r="Y25" i="6"/>
  <c r="W21" i="6"/>
  <c r="V21" i="6"/>
  <c r="U21" i="6"/>
  <c r="T21" i="6"/>
  <c r="S21" i="6"/>
  <c r="R21" i="6"/>
  <c r="N21" i="6"/>
  <c r="M21" i="6"/>
  <c r="L21" i="6"/>
  <c r="Y20" i="6"/>
  <c r="W19" i="6"/>
  <c r="V19" i="6"/>
  <c r="U19" i="6"/>
  <c r="T19" i="6"/>
  <c r="S19" i="6"/>
  <c r="R19" i="6"/>
  <c r="N19" i="6"/>
  <c r="M19" i="6"/>
  <c r="L19" i="6"/>
  <c r="Y18" i="6"/>
  <c r="W17" i="6"/>
  <c r="V17" i="6"/>
  <c r="U17" i="6"/>
  <c r="T17" i="6"/>
  <c r="S17" i="6"/>
  <c r="R17" i="6"/>
  <c r="N17" i="6"/>
  <c r="M17" i="6"/>
  <c r="L17" i="6"/>
  <c r="Y16" i="6"/>
  <c r="W15" i="6"/>
  <c r="V15" i="6"/>
  <c r="U15" i="6"/>
  <c r="T15" i="6"/>
  <c r="S15" i="6"/>
  <c r="R15" i="6"/>
  <c r="N15" i="6"/>
  <c r="M15" i="6"/>
  <c r="L15" i="6"/>
  <c r="Y14" i="6"/>
  <c r="W13" i="6"/>
  <c r="V13" i="6"/>
  <c r="U13" i="6"/>
  <c r="T13" i="6"/>
  <c r="S13" i="6"/>
  <c r="R13" i="6"/>
  <c r="N13" i="6"/>
  <c r="M13" i="6"/>
  <c r="L13" i="6"/>
  <c r="Y12" i="6"/>
  <c r="W11" i="6"/>
  <c r="V11" i="6"/>
  <c r="U11" i="6"/>
  <c r="T11" i="6"/>
  <c r="S11" i="6"/>
  <c r="R11" i="6"/>
  <c r="N11" i="6"/>
  <c r="M11" i="6"/>
  <c r="L11" i="6"/>
  <c r="Y10" i="6"/>
  <c r="W8" i="6"/>
  <c r="F4" i="6"/>
  <c r="W3" i="6"/>
  <c r="W90" i="6" s="1"/>
  <c r="F3" i="6"/>
  <c r="H4" i="6" s="1"/>
  <c r="V2" i="6" a="1"/>
  <c r="V2" i="6" s="1"/>
  <c r="V288" i="6" l="1"/>
  <c r="O161" i="6"/>
  <c r="O189" i="6"/>
  <c r="P189" i="6"/>
  <c r="O204" i="6"/>
  <c r="O205" i="6" s="1"/>
  <c r="P38" i="6"/>
  <c r="P204" i="6"/>
  <c r="P205" i="6" s="1"/>
  <c r="O264" i="6"/>
  <c r="Q204" i="6"/>
  <c r="Q205" i="6" s="1"/>
  <c r="O38" i="6"/>
  <c r="O288" i="6"/>
  <c r="O289" i="6" s="1"/>
  <c r="O244" i="6"/>
  <c r="O286" i="6"/>
  <c r="O146" i="6"/>
  <c r="O225" i="6"/>
  <c r="O53" i="6"/>
  <c r="O191" i="6"/>
  <c r="O192" i="6" s="1"/>
  <c r="O273" i="6"/>
  <c r="P286" i="6"/>
  <c r="O55" i="6"/>
  <c r="O56" i="6" s="1"/>
  <c r="O176" i="6"/>
  <c r="O23" i="6"/>
  <c r="P191" i="6"/>
  <c r="P192" i="6" s="1"/>
  <c r="P244" i="6"/>
  <c r="Q191" i="6"/>
  <c r="Q192" i="6" s="1"/>
  <c r="P161" i="6"/>
  <c r="Q244" i="6"/>
  <c r="Q146" i="6"/>
  <c r="Q288" i="6"/>
  <c r="Q289" i="6" s="1"/>
  <c r="P55" i="6"/>
  <c r="P288" i="6"/>
  <c r="P289" i="6" s="1"/>
  <c r="P225" i="6"/>
  <c r="Q273" i="6"/>
  <c r="P264" i="6"/>
  <c r="Q55" i="6"/>
  <c r="Q56" i="6" s="1"/>
  <c r="Q264" i="6"/>
  <c r="P53" i="6"/>
  <c r="P273" i="6"/>
  <c r="P176" i="6"/>
  <c r="Q53" i="6"/>
  <c r="P146" i="6"/>
  <c r="Q176" i="6"/>
  <c r="Q38" i="6"/>
  <c r="Q286" i="6"/>
  <c r="Q161" i="6"/>
  <c r="Q189" i="6"/>
  <c r="P23" i="6"/>
  <c r="Q23" i="6"/>
  <c r="Q225" i="6"/>
  <c r="N273" i="6"/>
  <c r="W53" i="6"/>
  <c r="V4" i="6" a="1"/>
  <c r="V4" i="6" s="1"/>
  <c r="V3" i="6" s="1"/>
  <c r="V349" i="6" s="1"/>
  <c r="W9" i="6"/>
  <c r="Y202" i="6"/>
  <c r="W273" i="6"/>
  <c r="Y372" i="6"/>
  <c r="W58" i="6"/>
  <c r="V176" i="6"/>
  <c r="M176" i="6"/>
  <c r="V273" i="6"/>
  <c r="R286" i="6"/>
  <c r="Y13" i="6"/>
  <c r="U273" i="6"/>
  <c r="V102" i="6"/>
  <c r="V89" i="6"/>
  <c r="U2" i="6" a="1"/>
  <c r="U2" i="6" s="1"/>
  <c r="T2" i="6" s="1" a="1"/>
  <c r="T2" i="6" s="1"/>
  <c r="T303" i="6" s="1"/>
  <c r="W161" i="6"/>
  <c r="W189" i="6"/>
  <c r="N244" i="6"/>
  <c r="S264" i="6"/>
  <c r="U204" i="6"/>
  <c r="U205" i="6" s="1"/>
  <c r="T53" i="6"/>
  <c r="V264" i="6"/>
  <c r="L161" i="6"/>
  <c r="T38" i="6"/>
  <c r="S146" i="6"/>
  <c r="Y114" i="6"/>
  <c r="S176" i="6"/>
  <c r="S273" i="6"/>
  <c r="Y151" i="6"/>
  <c r="Y181" i="6"/>
  <c r="T244" i="6"/>
  <c r="S189" i="6"/>
  <c r="L204" i="6"/>
  <c r="L205" i="6" s="1"/>
  <c r="V286" i="6"/>
  <c r="N53" i="6"/>
  <c r="S204" i="6"/>
  <c r="S205" i="6" s="1"/>
  <c r="W204" i="6"/>
  <c r="W205" i="6" s="1"/>
  <c r="R288" i="6"/>
  <c r="R289" i="6" s="1"/>
  <c r="M55" i="6"/>
  <c r="M56" i="6" s="1"/>
  <c r="L189" i="6"/>
  <c r="Y159" i="6"/>
  <c r="V38" i="6"/>
  <c r="Y278" i="6"/>
  <c r="Y368" i="6"/>
  <c r="AA368" i="6" s="1"/>
  <c r="L369" i="6"/>
  <c r="Y369" i="6" s="1"/>
  <c r="M146" i="6"/>
  <c r="W176" i="6"/>
  <c r="Y172" i="6"/>
  <c r="V204" i="6"/>
  <c r="V205" i="6" s="1"/>
  <c r="R204" i="6"/>
  <c r="R205" i="6" s="1"/>
  <c r="S288" i="6"/>
  <c r="S289" i="6" s="1"/>
  <c r="Y213" i="6"/>
  <c r="U244" i="6"/>
  <c r="L264" i="6"/>
  <c r="W264" i="6"/>
  <c r="Y256" i="6"/>
  <c r="Y269" i="6"/>
  <c r="Y144" i="6"/>
  <c r="V161" i="6"/>
  <c r="T225" i="6"/>
  <c r="Y223" i="6"/>
  <c r="V244" i="6"/>
  <c r="Y234" i="6"/>
  <c r="M264" i="6"/>
  <c r="R273" i="6"/>
  <c r="M273" i="6"/>
  <c r="Y280" i="6"/>
  <c r="Y107" i="6"/>
  <c r="U161" i="6"/>
  <c r="Y166" i="6"/>
  <c r="Y174" i="6"/>
  <c r="U189" i="6"/>
  <c r="M204" i="6"/>
  <c r="M205" i="6" s="1"/>
  <c r="U225" i="6"/>
  <c r="L244" i="6"/>
  <c r="W244" i="6"/>
  <c r="Y236" i="6"/>
  <c r="N264" i="6"/>
  <c r="Y250" i="6"/>
  <c r="T286" i="6"/>
  <c r="Y119" i="6"/>
  <c r="R176" i="6"/>
  <c r="T176" i="6"/>
  <c r="V189" i="6"/>
  <c r="T189" i="6"/>
  <c r="Y185" i="6"/>
  <c r="N204" i="6"/>
  <c r="N205" i="6" s="1"/>
  <c r="Y198" i="6"/>
  <c r="V289" i="6"/>
  <c r="Y215" i="6"/>
  <c r="M244" i="6"/>
  <c r="R264" i="6"/>
  <c r="Y258" i="6"/>
  <c r="T273" i="6"/>
  <c r="Y271" i="6"/>
  <c r="U286" i="6"/>
  <c r="S286" i="6"/>
  <c r="L288" i="6"/>
  <c r="L289" i="6" s="1"/>
  <c r="W288" i="6"/>
  <c r="W289" i="6" s="1"/>
  <c r="Y282" i="6"/>
  <c r="Y128" i="6"/>
  <c r="R161" i="6"/>
  <c r="M189" i="6"/>
  <c r="R189" i="6"/>
  <c r="M288" i="6"/>
  <c r="M289" i="6" s="1"/>
  <c r="Y217" i="6"/>
  <c r="R244" i="6"/>
  <c r="Y230" i="6"/>
  <c r="Y238" i="6"/>
  <c r="T264" i="6"/>
  <c r="Y252" i="6"/>
  <c r="Y262" i="6"/>
  <c r="L286" i="6"/>
  <c r="W286" i="6"/>
  <c r="N286" i="6"/>
  <c r="Y121" i="6"/>
  <c r="Y140" i="6"/>
  <c r="N161" i="6"/>
  <c r="U176" i="6"/>
  <c r="T204" i="6"/>
  <c r="T205" i="6" s="1"/>
  <c r="Y200" i="6"/>
  <c r="N288" i="6"/>
  <c r="N289" i="6" s="1"/>
  <c r="Y211" i="6"/>
  <c r="Y219" i="6"/>
  <c r="S244" i="6"/>
  <c r="Y232" i="6"/>
  <c r="Y242" i="6"/>
  <c r="U264" i="6"/>
  <c r="Y254" i="6"/>
  <c r="Y267" i="6"/>
  <c r="Y276" i="6"/>
  <c r="Y284" i="6"/>
  <c r="R55" i="6"/>
  <c r="R56" i="6" s="1"/>
  <c r="Y21" i="6"/>
  <c r="M23" i="6"/>
  <c r="U38" i="6"/>
  <c r="Y51" i="6"/>
  <c r="U55" i="6"/>
  <c r="U56" i="6" s="1"/>
  <c r="U23" i="6"/>
  <c r="V55" i="6"/>
  <c r="V56" i="6" s="1"/>
  <c r="N38" i="6"/>
  <c r="Y45" i="6"/>
  <c r="Y15" i="6"/>
  <c r="R38" i="6"/>
  <c r="Y36" i="6"/>
  <c r="U53" i="6"/>
  <c r="Y32" i="6"/>
  <c r="Y19" i="6"/>
  <c r="Y30" i="6"/>
  <c r="S38" i="6"/>
  <c r="V53" i="6"/>
  <c r="Y47" i="6"/>
  <c r="Y109" i="6"/>
  <c r="L53" i="6"/>
  <c r="Y41" i="6"/>
  <c r="Y112" i="6"/>
  <c r="Y17" i="6"/>
  <c r="W38" i="6"/>
  <c r="U146" i="6"/>
  <c r="U191" i="6"/>
  <c r="U192" i="6" s="1"/>
  <c r="T55" i="6"/>
  <c r="T56" i="6" s="1"/>
  <c r="L38" i="6"/>
  <c r="L55" i="6"/>
  <c r="W55" i="6"/>
  <c r="W56" i="6" s="1"/>
  <c r="M38" i="6"/>
  <c r="Y130" i="6"/>
  <c r="Y11" i="6"/>
  <c r="Y28" i="6"/>
  <c r="Y34" i="6"/>
  <c r="R53" i="6"/>
  <c r="M53" i="6"/>
  <c r="Y49" i="6"/>
  <c r="S55" i="6"/>
  <c r="S56" i="6" s="1"/>
  <c r="S23" i="6"/>
  <c r="Y164" i="6"/>
  <c r="L176" i="6"/>
  <c r="N55" i="6"/>
  <c r="N56" i="6" s="1"/>
  <c r="S53" i="6"/>
  <c r="Y116" i="6"/>
  <c r="V8" i="6"/>
  <c r="V23" i="6"/>
  <c r="Y43" i="6"/>
  <c r="L23" i="6"/>
  <c r="W23" i="6"/>
  <c r="Y26" i="6"/>
  <c r="T191" i="6"/>
  <c r="T192" i="6" s="1"/>
  <c r="Y133" i="6"/>
  <c r="Y168" i="6"/>
  <c r="Y183" i="6"/>
  <c r="N23" i="6"/>
  <c r="V146" i="6"/>
  <c r="V191" i="6"/>
  <c r="V192" i="6" s="1"/>
  <c r="Y123" i="6"/>
  <c r="T146" i="6"/>
  <c r="S161" i="6"/>
  <c r="Y157" i="6"/>
  <c r="Y170" i="6"/>
  <c r="R23" i="6"/>
  <c r="L146" i="6"/>
  <c r="L191" i="6"/>
  <c r="W146" i="6"/>
  <c r="W191" i="6"/>
  <c r="W192" i="6" s="1"/>
  <c r="Y135" i="6"/>
  <c r="Y142" i="6"/>
  <c r="T161" i="6"/>
  <c r="Y153" i="6"/>
  <c r="N176" i="6"/>
  <c r="V70" i="6"/>
  <c r="M191" i="6"/>
  <c r="M192" i="6" s="1"/>
  <c r="Y105" i="6"/>
  <c r="W362" i="6"/>
  <c r="W304" i="6"/>
  <c r="W349" i="6"/>
  <c r="W333" i="6"/>
  <c r="W317" i="6"/>
  <c r="W291" i="6"/>
  <c r="W371" i="6"/>
  <c r="W207" i="6"/>
  <c r="W194" i="6"/>
  <c r="T23" i="6"/>
  <c r="V57" i="6"/>
  <c r="N146" i="6"/>
  <c r="N191" i="6"/>
  <c r="N192" i="6" s="1"/>
  <c r="N189" i="6"/>
  <c r="Y187" i="6"/>
  <c r="V332" i="6"/>
  <c r="V396" i="6"/>
  <c r="V348" i="6"/>
  <c r="V370" i="6"/>
  <c r="V303" i="6"/>
  <c r="V193" i="6"/>
  <c r="V290" i="6"/>
  <c r="V206" i="6"/>
  <c r="V361" i="6"/>
  <c r="V316" i="6"/>
  <c r="W71" i="6"/>
  <c r="R191" i="6"/>
  <c r="R192" i="6" s="1"/>
  <c r="R146" i="6"/>
  <c r="Y126" i="6"/>
  <c r="Y155" i="6"/>
  <c r="W103" i="6"/>
  <c r="S191" i="6"/>
  <c r="S192" i="6" s="1"/>
  <c r="Y137" i="6"/>
  <c r="M161" i="6"/>
  <c r="V225" i="6"/>
  <c r="Y248" i="6"/>
  <c r="M286" i="6"/>
  <c r="T288" i="6"/>
  <c r="T289" i="6" s="1"/>
  <c r="Y379" i="6"/>
  <c r="Y395" i="6"/>
  <c r="Y179" i="6"/>
  <c r="L225" i="6"/>
  <c r="W225" i="6"/>
  <c r="Y228" i="6"/>
  <c r="U288" i="6"/>
  <c r="U289" i="6" s="1"/>
  <c r="Y373" i="6"/>
  <c r="Y388" i="6"/>
  <c r="Y209" i="6"/>
  <c r="M225" i="6"/>
  <c r="L273" i="6"/>
  <c r="Y382" i="6"/>
  <c r="N225" i="6"/>
  <c r="Y376" i="6"/>
  <c r="Y390" i="6"/>
  <c r="R225" i="6"/>
  <c r="Y384" i="6"/>
  <c r="Y149" i="6"/>
  <c r="S225" i="6"/>
  <c r="Y378" i="6"/>
  <c r="Y196" i="6"/>
  <c r="Y391" i="6"/>
  <c r="Y385" i="6"/>
  <c r="Y375" i="6"/>
  <c r="Y381" i="6"/>
  <c r="Y387" i="6"/>
  <c r="Y394" i="6"/>
  <c r="AA372" i="6" s="1"/>
  <c r="T70" i="6" l="1"/>
  <c r="T57" i="6"/>
  <c r="U303" i="6"/>
  <c r="P56" i="6"/>
  <c r="V9" i="6"/>
  <c r="V90" i="6"/>
  <c r="V194" i="6"/>
  <c r="V304" i="6"/>
  <c r="V317" i="6"/>
  <c r="V291" i="6"/>
  <c r="T102" i="6"/>
  <c r="S2" i="6" a="1"/>
  <c r="S2" i="6" s="1"/>
  <c r="S348" i="6" s="1"/>
  <c r="U4" i="6" a="1"/>
  <c r="U4" i="6" s="1"/>
  <c r="U3" i="6" s="1"/>
  <c r="U58" i="6" s="1"/>
  <c r="T8" i="6"/>
  <c r="V71" i="6"/>
  <c r="T89" i="6"/>
  <c r="V103" i="6"/>
  <c r="U89" i="6"/>
  <c r="T396" i="6"/>
  <c r="U8" i="6"/>
  <c r="T316" i="6"/>
  <c r="V362" i="6"/>
  <c r="U206" i="6"/>
  <c r="T348" i="6"/>
  <c r="V333" i="6"/>
  <c r="U332" i="6"/>
  <c r="V371" i="6"/>
  <c r="U290" i="6"/>
  <c r="V58" i="6"/>
  <c r="V207" i="6"/>
  <c r="U57" i="6"/>
  <c r="T370" i="6"/>
  <c r="U396" i="6"/>
  <c r="T361" i="6"/>
  <c r="U193" i="6"/>
  <c r="T206" i="6"/>
  <c r="U316" i="6"/>
  <c r="T332" i="6"/>
  <c r="U348" i="6"/>
  <c r="T290" i="6"/>
  <c r="AA363" i="6"/>
  <c r="Y189" i="6"/>
  <c r="AA365" i="6"/>
  <c r="Y205" i="6"/>
  <c r="U70" i="6"/>
  <c r="U361" i="6"/>
  <c r="T193" i="6"/>
  <c r="U102" i="6"/>
  <c r="U370" i="6"/>
  <c r="Y286" i="6"/>
  <c r="Y273" i="6"/>
  <c r="Y161" i="6"/>
  <c r="Y244" i="6"/>
  <c r="AA390" i="6"/>
  <c r="Y176" i="6"/>
  <c r="Y204" i="6"/>
  <c r="AA204" i="6" s="1"/>
  <c r="Y264" i="6"/>
  <c r="AA378" i="6"/>
  <c r="AA375" i="6"/>
  <c r="Y225" i="6"/>
  <c r="Y288" i="6"/>
  <c r="AA208" i="6" s="1"/>
  <c r="Y38" i="6"/>
  <c r="AA387" i="6"/>
  <c r="L192" i="6"/>
  <c r="Y192" i="6" s="1"/>
  <c r="Y191" i="6"/>
  <c r="AA384" i="6"/>
  <c r="AA381" i="6"/>
  <c r="Y146" i="6"/>
  <c r="Y23" i="6"/>
  <c r="Y289" i="6"/>
  <c r="Y53" i="6"/>
  <c r="L56" i="6"/>
  <c r="Y55" i="6"/>
  <c r="AA27" i="6" s="1"/>
  <c r="A26" i="3"/>
  <c r="A27" i="3"/>
  <c r="Y56" i="6" l="1"/>
  <c r="S361" i="6"/>
  <c r="S193" i="6"/>
  <c r="U362" i="6"/>
  <c r="U349" i="6"/>
  <c r="S370" i="6"/>
  <c r="S396" i="6"/>
  <c r="S290" i="6"/>
  <c r="S316" i="6"/>
  <c r="S332" i="6"/>
  <c r="S70" i="6"/>
  <c r="S57" i="6"/>
  <c r="U317" i="6"/>
  <c r="S102" i="6"/>
  <c r="U291" i="6"/>
  <c r="S303" i="6"/>
  <c r="S8" i="6"/>
  <c r="S89" i="6"/>
  <c r="AA176" i="6"/>
  <c r="U333" i="6"/>
  <c r="R2" i="6" a="1"/>
  <c r="R2" i="6" s="1"/>
  <c r="Q2" i="6" s="1" a="1"/>
  <c r="Q2" i="6" s="1"/>
  <c r="P2" i="6" s="1" a="1"/>
  <c r="P2" i="6" s="1"/>
  <c r="O2" i="6" s="1" a="1"/>
  <c r="O2" i="6" s="1"/>
  <c r="N2" i="6" s="1" a="1"/>
  <c r="N2" i="6" s="1"/>
  <c r="S206" i="6"/>
  <c r="U9" i="6"/>
  <c r="T4" i="6" a="1"/>
  <c r="T4" i="6" s="1"/>
  <c r="T3" i="6" s="1"/>
  <c r="T103" i="6" s="1"/>
  <c r="U304" i="6"/>
  <c r="U103" i="6"/>
  <c r="U207" i="6"/>
  <c r="U194" i="6"/>
  <c r="U90" i="6"/>
  <c r="U371" i="6"/>
  <c r="U71" i="6"/>
  <c r="AA189" i="6"/>
  <c r="AA111" i="6"/>
  <c r="AA122" i="6"/>
  <c r="AA152" i="6"/>
  <c r="AA244" i="6"/>
  <c r="AA42" i="6"/>
  <c r="AA115" i="6"/>
  <c r="AA167" i="6"/>
  <c r="AA154" i="6"/>
  <c r="AA134" i="6"/>
  <c r="AA227" i="6"/>
  <c r="AA25" i="6"/>
  <c r="AA195" i="6"/>
  <c r="AA247" i="6"/>
  <c r="AA108" i="6"/>
  <c r="AA286" i="6"/>
  <c r="AA273" i="6"/>
  <c r="AA33" i="6"/>
  <c r="AA40" i="6"/>
  <c r="AA125" i="6"/>
  <c r="AA197" i="6"/>
  <c r="AA201" i="6"/>
  <c r="AA199" i="6"/>
  <c r="AA169" i="6"/>
  <c r="AA141" i="6"/>
  <c r="AA53" i="6"/>
  <c r="AA146" i="6"/>
  <c r="AA129" i="6"/>
  <c r="AA104" i="6"/>
  <c r="AA48" i="6"/>
  <c r="AA16" i="6"/>
  <c r="AA186" i="6"/>
  <c r="AA10" i="6"/>
  <c r="AA132" i="6"/>
  <c r="AA163" i="6"/>
  <c r="AA148" i="6"/>
  <c r="AA55" i="6"/>
  <c r="AA46" i="6"/>
  <c r="AA20" i="6"/>
  <c r="AA18" i="6"/>
  <c r="AA31" i="6"/>
  <c r="AA35" i="6"/>
  <c r="AA12" i="6"/>
  <c r="AA44" i="6"/>
  <c r="AA29" i="6"/>
  <c r="AA14" i="6"/>
  <c r="AA50" i="6"/>
  <c r="AA136" i="6"/>
  <c r="AA288" i="6"/>
  <c r="AA231" i="6"/>
  <c r="AA281" i="6"/>
  <c r="AA255" i="6"/>
  <c r="AA249" i="6"/>
  <c r="AA257" i="6"/>
  <c r="AA216" i="6"/>
  <c r="AA261" i="6"/>
  <c r="AA222" i="6"/>
  <c r="AA241" i="6"/>
  <c r="AA283" i="6"/>
  <c r="AA212" i="6"/>
  <c r="AA268" i="6"/>
  <c r="AA270" i="6"/>
  <c r="AA229" i="6"/>
  <c r="AA251" i="6"/>
  <c r="AA218" i="6"/>
  <c r="AA266" i="6"/>
  <c r="AA233" i="6"/>
  <c r="AA237" i="6"/>
  <c r="AA210" i="6"/>
  <c r="AA253" i="6"/>
  <c r="AA279" i="6"/>
  <c r="AA264" i="6"/>
  <c r="AA277" i="6"/>
  <c r="AA235" i="6"/>
  <c r="AA214" i="6"/>
  <c r="AA275" i="6"/>
  <c r="AA225" i="6"/>
  <c r="AA23" i="6"/>
  <c r="AA191" i="6"/>
  <c r="AA139" i="6"/>
  <c r="AA165" i="6"/>
  <c r="AA173" i="6"/>
  <c r="AA180" i="6"/>
  <c r="AA150" i="6"/>
  <c r="AA127" i="6"/>
  <c r="AA118" i="6"/>
  <c r="AA184" i="6"/>
  <c r="AA143" i="6"/>
  <c r="AA120" i="6"/>
  <c r="AA106" i="6"/>
  <c r="AA113" i="6"/>
  <c r="AA158" i="6"/>
  <c r="AA171" i="6"/>
  <c r="AA182" i="6"/>
  <c r="AA178" i="6"/>
  <c r="AA38" i="6"/>
  <c r="AA156" i="6"/>
  <c r="AA161" i="6"/>
  <c r="R361" i="6" l="1"/>
  <c r="R370" i="6"/>
  <c r="R332" i="6"/>
  <c r="Q70" i="6"/>
  <c r="T207" i="6"/>
  <c r="O348" i="6"/>
  <c r="O290" i="6"/>
  <c r="O89" i="6"/>
  <c r="O8" i="6"/>
  <c r="O70" i="6"/>
  <c r="O370" i="6"/>
  <c r="O206" i="6"/>
  <c r="O57" i="6"/>
  <c r="O316" i="6"/>
  <c r="O332" i="6"/>
  <c r="O193" i="6"/>
  <c r="O396" i="6"/>
  <c r="O361" i="6"/>
  <c r="O303" i="6"/>
  <c r="O102" i="6"/>
  <c r="Q206" i="6"/>
  <c r="T317" i="6"/>
  <c r="Q370" i="6"/>
  <c r="R70" i="6"/>
  <c r="Q89" i="6"/>
  <c r="R8" i="6"/>
  <c r="R102" i="6"/>
  <c r="Q316" i="6"/>
  <c r="R89" i="6"/>
  <c r="Q193" i="6"/>
  <c r="Q8" i="6"/>
  <c r="T58" i="6"/>
  <c r="R206" i="6"/>
  <c r="Q396" i="6"/>
  <c r="T9" i="6"/>
  <c r="R57" i="6"/>
  <c r="R396" i="6"/>
  <c r="Q332" i="6"/>
  <c r="S4" i="6" a="1"/>
  <c r="S4" i="6" s="1"/>
  <c r="S3" i="6" s="1"/>
  <c r="S349" i="6" s="1"/>
  <c r="R193" i="6"/>
  <c r="T90" i="6"/>
  <c r="T362" i="6"/>
  <c r="R290" i="6"/>
  <c r="Q102" i="6"/>
  <c r="T194" i="6"/>
  <c r="T333" i="6"/>
  <c r="T349" i="6"/>
  <c r="Q290" i="6"/>
  <c r="T304" i="6"/>
  <c r="Q57" i="6"/>
  <c r="T71" i="6"/>
  <c r="T371" i="6"/>
  <c r="Q303" i="6"/>
  <c r="T291" i="6"/>
  <c r="P348" i="6"/>
  <c r="P290" i="6"/>
  <c r="P102" i="6"/>
  <c r="P8" i="6"/>
  <c r="P89" i="6"/>
  <c r="P316" i="6"/>
  <c r="P370" i="6"/>
  <c r="P206" i="6"/>
  <c r="P57" i="6"/>
  <c r="P70" i="6"/>
  <c r="P332" i="6"/>
  <c r="P193" i="6"/>
  <c r="P396" i="6"/>
  <c r="P361" i="6"/>
  <c r="P303" i="6"/>
  <c r="R348" i="6"/>
  <c r="Q348" i="6"/>
  <c r="R303" i="6"/>
  <c r="R316" i="6"/>
  <c r="Q361" i="6"/>
  <c r="N396" i="6"/>
  <c r="N348" i="6"/>
  <c r="N370" i="6"/>
  <c r="N316" i="6"/>
  <c r="N361" i="6"/>
  <c r="N206" i="6"/>
  <c r="N303" i="6"/>
  <c r="N290" i="6"/>
  <c r="N193" i="6"/>
  <c r="N332" i="6"/>
  <c r="N70" i="6"/>
  <c r="N89" i="6"/>
  <c r="N8" i="6"/>
  <c r="N102" i="6"/>
  <c r="N57" i="6"/>
  <c r="M2" i="6" a="1"/>
  <c r="M2" i="6" s="1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526" i="3"/>
  <c r="S291" i="6" l="1"/>
  <c r="S371" i="6"/>
  <c r="S9" i="6"/>
  <c r="R4" i="6" a="1"/>
  <c r="R4" i="6" s="1"/>
  <c r="R3" i="6" s="1"/>
  <c r="Q4" i="6" s="1" a="1"/>
  <c r="Q4" i="6" s="1"/>
  <c r="Q3" i="6" s="1"/>
  <c r="P4" i="6" s="1" a="1"/>
  <c r="P4" i="6" s="1"/>
  <c r="P3" i="6" s="1"/>
  <c r="O4" i="6" s="1" a="1"/>
  <c r="O4" i="6" s="1"/>
  <c r="O3" i="6" s="1"/>
  <c r="N4" i="6" s="1" a="1"/>
  <c r="N4" i="6" s="1"/>
  <c r="N3" i="6" s="1"/>
  <c r="S90" i="6"/>
  <c r="S71" i="6"/>
  <c r="S362" i="6"/>
  <c r="S194" i="6"/>
  <c r="S333" i="6"/>
  <c r="S304" i="6"/>
  <c r="S58" i="6"/>
  <c r="S317" i="6"/>
  <c r="S207" i="6"/>
  <c r="S103" i="6"/>
  <c r="M361" i="6"/>
  <c r="M303" i="6"/>
  <c r="M348" i="6"/>
  <c r="M332" i="6"/>
  <c r="M316" i="6"/>
  <c r="M370" i="6"/>
  <c r="M396" i="6"/>
  <c r="M206" i="6"/>
  <c r="M290" i="6"/>
  <c r="M193" i="6"/>
  <c r="M102" i="6"/>
  <c r="M70" i="6"/>
  <c r="L2" i="6" a="1"/>
  <c r="L2" i="6" s="1"/>
  <c r="M89" i="6"/>
  <c r="M57" i="6"/>
  <c r="M8" i="6"/>
  <c r="R9" i="6" l="1"/>
  <c r="A82" i="6"/>
  <c r="A76" i="6"/>
  <c r="A79" i="6"/>
  <c r="R333" i="6"/>
  <c r="R304" i="6"/>
  <c r="Q103" i="6"/>
  <c r="O90" i="6"/>
  <c r="O207" i="6"/>
  <c r="O333" i="6"/>
  <c r="O194" i="6"/>
  <c r="O362" i="6"/>
  <c r="O304" i="6"/>
  <c r="O317" i="6"/>
  <c r="O349" i="6"/>
  <c r="O103" i="6"/>
  <c r="O58" i="6"/>
  <c r="O9" i="6"/>
  <c r="O71" i="6"/>
  <c r="O371" i="6"/>
  <c r="O291" i="6"/>
  <c r="R58" i="6"/>
  <c r="Q362" i="6"/>
  <c r="R103" i="6"/>
  <c r="Q194" i="6"/>
  <c r="Q291" i="6"/>
  <c r="R291" i="6"/>
  <c r="Q9" i="6"/>
  <c r="R71" i="6"/>
  <c r="R317" i="6"/>
  <c r="Q58" i="6"/>
  <c r="Q207" i="6"/>
  <c r="R90" i="6"/>
  <c r="Q349" i="6"/>
  <c r="R207" i="6"/>
  <c r="Q333" i="6"/>
  <c r="R371" i="6"/>
  <c r="Q304" i="6"/>
  <c r="R194" i="6"/>
  <c r="Q317" i="6"/>
  <c r="P90" i="6"/>
  <c r="P349" i="6"/>
  <c r="P207" i="6"/>
  <c r="P9" i="6"/>
  <c r="P71" i="6"/>
  <c r="P317" i="6"/>
  <c r="P371" i="6"/>
  <c r="P194" i="6"/>
  <c r="P291" i="6"/>
  <c r="P362" i="6"/>
  <c r="P304" i="6"/>
  <c r="P103" i="6"/>
  <c r="P58" i="6"/>
  <c r="P333" i="6"/>
  <c r="Q371" i="6"/>
  <c r="Q90" i="6"/>
  <c r="R349" i="6"/>
  <c r="R362" i="6"/>
  <c r="Q71" i="6"/>
  <c r="A309" i="6"/>
  <c r="O308" i="6" s="1"/>
  <c r="A60" i="6"/>
  <c r="O59" i="6" s="1"/>
  <c r="A325" i="6"/>
  <c r="O324" i="6" s="1"/>
  <c r="A319" i="6"/>
  <c r="O318" i="6" s="1"/>
  <c r="A73" i="6"/>
  <c r="O72" i="6" s="1"/>
  <c r="A341" i="6"/>
  <c r="O340" i="6" s="1"/>
  <c r="A354" i="6"/>
  <c r="O353" i="6" s="1"/>
  <c r="A296" i="6"/>
  <c r="A63" i="6"/>
  <c r="O62" i="6" s="1"/>
  <c r="A364" i="6"/>
  <c r="O363" i="6" s="1"/>
  <c r="A351" i="6"/>
  <c r="O350" i="6" s="1"/>
  <c r="A95" i="6"/>
  <c r="O94" i="6" s="1"/>
  <c r="A366" i="6"/>
  <c r="O365" i="6" s="1"/>
  <c r="A338" i="6"/>
  <c r="O337" i="6" s="1"/>
  <c r="A92" i="6"/>
  <c r="O91" i="6" s="1"/>
  <c r="A322" i="6"/>
  <c r="O321" i="6" s="1"/>
  <c r="A335" i="6"/>
  <c r="O334" i="6" s="1"/>
  <c r="A293" i="6"/>
  <c r="O292" i="6" s="1"/>
  <c r="A306" i="6"/>
  <c r="O305" i="6" s="1"/>
  <c r="L316" i="6"/>
  <c r="L303" i="6"/>
  <c r="L370" i="6"/>
  <c r="L332" i="6"/>
  <c r="L348" i="6"/>
  <c r="L396" i="6"/>
  <c r="L206" i="6"/>
  <c r="L361" i="6"/>
  <c r="L290" i="6"/>
  <c r="L193" i="6"/>
  <c r="L102" i="6"/>
  <c r="L57" i="6"/>
  <c r="L70" i="6"/>
  <c r="L89" i="6"/>
  <c r="L8" i="6"/>
  <c r="N371" i="6"/>
  <c r="N333" i="6"/>
  <c r="N362" i="6"/>
  <c r="N207" i="6"/>
  <c r="N349" i="6"/>
  <c r="N194" i="6"/>
  <c r="N317" i="6"/>
  <c r="N304" i="6"/>
  <c r="N291" i="6"/>
  <c r="N90" i="6"/>
  <c r="N9" i="6"/>
  <c r="M4" i="6" a="1"/>
  <c r="M4" i="6" s="1"/>
  <c r="M3" i="6" s="1"/>
  <c r="L4" i="6" s="1" a="1"/>
  <c r="L4" i="6" s="1"/>
  <c r="L3" i="6" s="1"/>
  <c r="N71" i="6"/>
  <c r="N58" i="6"/>
  <c r="N103" i="6"/>
  <c r="O295" i="6" l="1"/>
  <c r="U295" i="6"/>
  <c r="O312" i="6"/>
  <c r="O314" i="6" s="1"/>
  <c r="O315" i="6" s="1"/>
  <c r="O328" i="6"/>
  <c r="O330" i="6" s="1"/>
  <c r="O331" i="6" s="1"/>
  <c r="O357" i="6"/>
  <c r="O359" i="6" s="1"/>
  <c r="O360" i="6" s="1"/>
  <c r="O344" i="6"/>
  <c r="O346" i="6" s="1"/>
  <c r="O347" i="6" s="1"/>
  <c r="O98" i="6"/>
  <c r="O100" i="6" s="1"/>
  <c r="O101" i="6" s="1"/>
  <c r="O66" i="6"/>
  <c r="O68" i="6" s="1"/>
  <c r="V78" i="6"/>
  <c r="N78" i="6"/>
  <c r="R78" i="6"/>
  <c r="L78" i="6"/>
  <c r="O78" i="6"/>
  <c r="U78" i="6"/>
  <c r="W78" i="6"/>
  <c r="S78" i="6"/>
  <c r="M78" i="6"/>
  <c r="T78" i="6"/>
  <c r="AH79" i="6"/>
  <c r="P78" i="6"/>
  <c r="Q78" i="6"/>
  <c r="V75" i="6"/>
  <c r="P75" i="6"/>
  <c r="R75" i="6"/>
  <c r="M75" i="6"/>
  <c r="Q75" i="6"/>
  <c r="U75" i="6"/>
  <c r="S75" i="6"/>
  <c r="T75" i="6"/>
  <c r="W75" i="6"/>
  <c r="AH76" i="6"/>
  <c r="L75" i="6"/>
  <c r="O75" i="6"/>
  <c r="N75" i="6"/>
  <c r="V81" i="6"/>
  <c r="S81" i="6"/>
  <c r="U81" i="6"/>
  <c r="N81" i="6"/>
  <c r="R81" i="6"/>
  <c r="O81" i="6"/>
  <c r="Q81" i="6"/>
  <c r="W81" i="6"/>
  <c r="L81" i="6"/>
  <c r="P81" i="6"/>
  <c r="T81" i="6"/>
  <c r="AH82" i="6"/>
  <c r="M81" i="6"/>
  <c r="P353" i="6"/>
  <c r="Q353" i="6"/>
  <c r="P305" i="6"/>
  <c r="Q305" i="6"/>
  <c r="P72" i="6"/>
  <c r="Q72" i="6"/>
  <c r="Q62" i="6"/>
  <c r="P62" i="6"/>
  <c r="Q295" i="6"/>
  <c r="P295" i="6"/>
  <c r="Q292" i="6"/>
  <c r="P292" i="6"/>
  <c r="Q334" i="6"/>
  <c r="P334" i="6"/>
  <c r="Q337" i="6"/>
  <c r="P337" i="6"/>
  <c r="P365" i="6"/>
  <c r="Q365" i="6"/>
  <c r="P94" i="6"/>
  <c r="Q94" i="6"/>
  <c r="P350" i="6"/>
  <c r="Q350" i="6"/>
  <c r="Q340" i="6"/>
  <c r="P340" i="6"/>
  <c r="Q321" i="6"/>
  <c r="P321" i="6"/>
  <c r="Q91" i="6"/>
  <c r="P91" i="6"/>
  <c r="P318" i="6"/>
  <c r="Q318" i="6"/>
  <c r="Q324" i="6"/>
  <c r="P324" i="6"/>
  <c r="P59" i="6"/>
  <c r="Q59" i="6"/>
  <c r="Q308" i="6"/>
  <c r="P308" i="6"/>
  <c r="P363" i="6"/>
  <c r="Q363" i="6"/>
  <c r="AH92" i="6"/>
  <c r="R91" i="6"/>
  <c r="N91" i="6"/>
  <c r="T91" i="6"/>
  <c r="S91" i="6"/>
  <c r="L91" i="6"/>
  <c r="W91" i="6"/>
  <c r="M91" i="6"/>
  <c r="V91" i="6"/>
  <c r="U91" i="6"/>
  <c r="W353" i="6"/>
  <c r="U353" i="6"/>
  <c r="N353" i="6"/>
  <c r="M353" i="6"/>
  <c r="S353" i="6"/>
  <c r="L353" i="6"/>
  <c r="R353" i="6"/>
  <c r="T353" i="6"/>
  <c r="AH354" i="6"/>
  <c r="V353" i="6"/>
  <c r="V337" i="6"/>
  <c r="W337" i="6"/>
  <c r="T337" i="6"/>
  <c r="R337" i="6"/>
  <c r="U337" i="6"/>
  <c r="AH338" i="6"/>
  <c r="N337" i="6"/>
  <c r="L337" i="6"/>
  <c r="M337" i="6"/>
  <c r="S337" i="6"/>
  <c r="M365" i="6"/>
  <c r="R365" i="6"/>
  <c r="L365" i="6"/>
  <c r="W365" i="6"/>
  <c r="V365" i="6"/>
  <c r="S365" i="6"/>
  <c r="N365" i="6"/>
  <c r="T365" i="6"/>
  <c r="U365" i="6"/>
  <c r="W340" i="6"/>
  <c r="AH341" i="6"/>
  <c r="S340" i="6"/>
  <c r="N340" i="6"/>
  <c r="L340" i="6"/>
  <c r="V340" i="6"/>
  <c r="M340" i="6"/>
  <c r="U340" i="6"/>
  <c r="T340" i="6"/>
  <c r="R340" i="6"/>
  <c r="R94" i="6"/>
  <c r="S94" i="6"/>
  <c r="N94" i="6"/>
  <c r="V94" i="6"/>
  <c r="AH95" i="6"/>
  <c r="T94" i="6"/>
  <c r="L94" i="6"/>
  <c r="M94" i="6"/>
  <c r="W94" i="6"/>
  <c r="U94" i="6"/>
  <c r="R72" i="6"/>
  <c r="N72" i="6"/>
  <c r="L72" i="6"/>
  <c r="M72" i="6"/>
  <c r="W72" i="6"/>
  <c r="T72" i="6"/>
  <c r="V72" i="6"/>
  <c r="AH73" i="6"/>
  <c r="S72" i="6"/>
  <c r="U72" i="6"/>
  <c r="AH306" i="6"/>
  <c r="L305" i="6"/>
  <c r="W305" i="6"/>
  <c r="V305" i="6"/>
  <c r="T305" i="6"/>
  <c r="M305" i="6"/>
  <c r="S305" i="6"/>
  <c r="N305" i="6"/>
  <c r="U305" i="6"/>
  <c r="R305" i="6"/>
  <c r="V350" i="6"/>
  <c r="S350" i="6"/>
  <c r="U350" i="6"/>
  <c r="R350" i="6"/>
  <c r="M350" i="6"/>
  <c r="W350" i="6"/>
  <c r="AH351" i="6"/>
  <c r="L350" i="6"/>
  <c r="T350" i="6"/>
  <c r="N350" i="6"/>
  <c r="S318" i="6"/>
  <c r="R318" i="6"/>
  <c r="M318" i="6"/>
  <c r="AH319" i="6"/>
  <c r="N318" i="6"/>
  <c r="W318" i="6"/>
  <c r="L318" i="6"/>
  <c r="T318" i="6"/>
  <c r="U318" i="6"/>
  <c r="V318" i="6"/>
  <c r="V292" i="6"/>
  <c r="T292" i="6"/>
  <c r="S292" i="6"/>
  <c r="R292" i="6"/>
  <c r="M292" i="6"/>
  <c r="N292" i="6"/>
  <c r="W292" i="6"/>
  <c r="L292" i="6"/>
  <c r="U292" i="6"/>
  <c r="AH293" i="6"/>
  <c r="V363" i="6"/>
  <c r="M363" i="6"/>
  <c r="U363" i="6"/>
  <c r="T363" i="6"/>
  <c r="S363" i="6"/>
  <c r="N363" i="6"/>
  <c r="R363" i="6"/>
  <c r="L363" i="6"/>
  <c r="W363" i="6"/>
  <c r="R324" i="6"/>
  <c r="M324" i="6"/>
  <c r="L324" i="6"/>
  <c r="AH325" i="6"/>
  <c r="W324" i="6"/>
  <c r="T324" i="6"/>
  <c r="U324" i="6"/>
  <c r="N324" i="6"/>
  <c r="S324" i="6"/>
  <c r="V324" i="6"/>
  <c r="W334" i="6"/>
  <c r="S334" i="6"/>
  <c r="N334" i="6"/>
  <c r="T334" i="6"/>
  <c r="M334" i="6"/>
  <c r="V334" i="6"/>
  <c r="U334" i="6"/>
  <c r="AH335" i="6"/>
  <c r="L334" i="6"/>
  <c r="R334" i="6"/>
  <c r="S62" i="6"/>
  <c r="N62" i="6"/>
  <c r="T62" i="6"/>
  <c r="M62" i="6"/>
  <c r="W62" i="6"/>
  <c r="L62" i="6"/>
  <c r="V62" i="6"/>
  <c r="U62" i="6"/>
  <c r="AH63" i="6"/>
  <c r="R62" i="6"/>
  <c r="V59" i="6"/>
  <c r="S59" i="6"/>
  <c r="M59" i="6"/>
  <c r="W59" i="6"/>
  <c r="N59" i="6"/>
  <c r="AH60" i="6"/>
  <c r="U59" i="6"/>
  <c r="R59" i="6"/>
  <c r="L59" i="6"/>
  <c r="T59" i="6"/>
  <c r="W321" i="6"/>
  <c r="L321" i="6"/>
  <c r="M321" i="6"/>
  <c r="S321" i="6"/>
  <c r="U321" i="6"/>
  <c r="V321" i="6"/>
  <c r="T321" i="6"/>
  <c r="R321" i="6"/>
  <c r="AH322" i="6"/>
  <c r="N321" i="6"/>
  <c r="R295" i="6"/>
  <c r="N295" i="6"/>
  <c r="T295" i="6"/>
  <c r="W295" i="6"/>
  <c r="L295" i="6"/>
  <c r="V295" i="6"/>
  <c r="AH296" i="6"/>
  <c r="S295" i="6"/>
  <c r="M295" i="6"/>
  <c r="W308" i="6"/>
  <c r="V308" i="6"/>
  <c r="U308" i="6"/>
  <c r="AH309" i="6"/>
  <c r="T308" i="6"/>
  <c r="S308" i="6"/>
  <c r="R308" i="6"/>
  <c r="M308" i="6"/>
  <c r="N308" i="6"/>
  <c r="L308" i="6"/>
  <c r="M349" i="6"/>
  <c r="M371" i="6"/>
  <c r="M317" i="6"/>
  <c r="M362" i="6"/>
  <c r="M207" i="6"/>
  <c r="M333" i="6"/>
  <c r="M194" i="6"/>
  <c r="M304" i="6"/>
  <c r="M291" i="6"/>
  <c r="M71" i="6"/>
  <c r="M90" i="6"/>
  <c r="M9" i="6"/>
  <c r="M103" i="6"/>
  <c r="M58" i="6"/>
  <c r="N66" i="6" l="1"/>
  <c r="N68" i="6" s="1"/>
  <c r="N69" i="6" s="1"/>
  <c r="P66" i="6"/>
  <c r="P68" i="6" s="1"/>
  <c r="P69" i="6" s="1"/>
  <c r="N85" i="6"/>
  <c r="N87" i="6" s="1"/>
  <c r="N88" i="6" s="1"/>
  <c r="T85" i="6"/>
  <c r="T87" i="6" s="1"/>
  <c r="T88" i="6" s="1"/>
  <c r="M85" i="6"/>
  <c r="M87" i="6" s="1"/>
  <c r="M88" i="6" s="1"/>
  <c r="T66" i="6"/>
  <c r="T68" i="6" s="1"/>
  <c r="T69" i="6" s="1"/>
  <c r="L85" i="6"/>
  <c r="L87" i="6" s="1"/>
  <c r="L88" i="6" s="1"/>
  <c r="O299" i="6"/>
  <c r="O301" i="6" s="1"/>
  <c r="O302" i="6" s="1"/>
  <c r="N98" i="6"/>
  <c r="N100" i="6" s="1"/>
  <c r="N101" i="6" s="1"/>
  <c r="P328" i="6"/>
  <c r="P330" i="6" s="1"/>
  <c r="P331" i="6" s="1"/>
  <c r="U328" i="6"/>
  <c r="U330" i="6" s="1"/>
  <c r="U331" i="6" s="1"/>
  <c r="Q98" i="6"/>
  <c r="Q100" i="6" s="1"/>
  <c r="Q101" i="6" s="1"/>
  <c r="P312" i="6"/>
  <c r="P314" i="6" s="1"/>
  <c r="P315" i="6" s="1"/>
  <c r="U299" i="6"/>
  <c r="U301" i="6" s="1"/>
  <c r="U302" i="6" s="1"/>
  <c r="L328" i="6"/>
  <c r="L330" i="6" s="1"/>
  <c r="L331" i="6" s="1"/>
  <c r="M357" i="6"/>
  <c r="M359" i="6" s="1"/>
  <c r="M360" i="6" s="1"/>
  <c r="W312" i="6"/>
  <c r="W314" i="6" s="1"/>
  <c r="W315" i="6" s="1"/>
  <c r="Q344" i="6"/>
  <c r="Q346" i="6" s="1"/>
  <c r="Q347" i="6" s="1"/>
  <c r="U98" i="6"/>
  <c r="U100" i="6" s="1"/>
  <c r="U101" i="6" s="1"/>
  <c r="P299" i="6"/>
  <c r="P301" i="6" s="1"/>
  <c r="P302" i="6" s="1"/>
  <c r="W344" i="6"/>
  <c r="W346" i="6" s="1"/>
  <c r="W347" i="6" s="1"/>
  <c r="S357" i="6"/>
  <c r="S359" i="6" s="1"/>
  <c r="S360" i="6" s="1"/>
  <c r="U85" i="6"/>
  <c r="U87" i="6" s="1"/>
  <c r="U88" i="6" s="1"/>
  <c r="V98" i="6"/>
  <c r="V100" i="6" s="1"/>
  <c r="V101" i="6" s="1"/>
  <c r="M299" i="6"/>
  <c r="M301" i="6" s="1"/>
  <c r="M302" i="6" s="1"/>
  <c r="M328" i="6"/>
  <c r="M330" i="6" s="1"/>
  <c r="M331" i="6" s="1"/>
  <c r="V357" i="6"/>
  <c r="V359" i="6" s="1"/>
  <c r="V360" i="6" s="1"/>
  <c r="M98" i="6"/>
  <c r="M100" i="6" s="1"/>
  <c r="M101" i="6" s="1"/>
  <c r="Q357" i="6"/>
  <c r="Q359" i="6" s="1"/>
  <c r="Q360" i="6" s="1"/>
  <c r="O85" i="6"/>
  <c r="O87" i="6" s="1"/>
  <c r="O88" i="6" s="1"/>
  <c r="M344" i="6"/>
  <c r="M346" i="6" s="1"/>
  <c r="M347" i="6" s="1"/>
  <c r="T328" i="6"/>
  <c r="T330" i="6" s="1"/>
  <c r="T331" i="6" s="1"/>
  <c r="V312" i="6"/>
  <c r="V314" i="6" s="1"/>
  <c r="V315" i="6" s="1"/>
  <c r="N344" i="6"/>
  <c r="N346" i="6" s="1"/>
  <c r="N347" i="6" s="1"/>
  <c r="M66" i="6"/>
  <c r="M68" i="6" s="1"/>
  <c r="M69" i="6" s="1"/>
  <c r="R299" i="6"/>
  <c r="R301" i="6" s="1"/>
  <c r="R302" i="6" s="1"/>
  <c r="R328" i="6"/>
  <c r="R330" i="6" s="1"/>
  <c r="R331" i="6" s="1"/>
  <c r="R312" i="6"/>
  <c r="R314" i="6" s="1"/>
  <c r="R315" i="6" s="1"/>
  <c r="R344" i="6"/>
  <c r="R346" i="6" s="1"/>
  <c r="R347" i="6" s="1"/>
  <c r="S299" i="6"/>
  <c r="S301" i="6" s="1"/>
  <c r="S302" i="6" s="1"/>
  <c r="S328" i="6"/>
  <c r="S330" i="6" s="1"/>
  <c r="S331" i="6" s="1"/>
  <c r="U312" i="6"/>
  <c r="U314" i="6" s="1"/>
  <c r="U315" i="6" s="1"/>
  <c r="V85" i="6"/>
  <c r="V87" i="6" s="1"/>
  <c r="V88" i="6" s="1"/>
  <c r="L98" i="6"/>
  <c r="L100" i="6" s="1"/>
  <c r="L101" i="6" s="1"/>
  <c r="T344" i="6"/>
  <c r="T346" i="6" s="1"/>
  <c r="T347" i="6" s="1"/>
  <c r="W328" i="6"/>
  <c r="W330" i="6" s="1"/>
  <c r="W331" i="6" s="1"/>
  <c r="R357" i="6"/>
  <c r="R359" i="6" s="1"/>
  <c r="R360" i="6" s="1"/>
  <c r="S344" i="6"/>
  <c r="S346" i="6" s="1"/>
  <c r="S347" i="6" s="1"/>
  <c r="V66" i="6"/>
  <c r="V68" i="6" s="1"/>
  <c r="V69" i="6" s="1"/>
  <c r="L344" i="6"/>
  <c r="T299" i="6"/>
  <c r="T301" i="6" s="1"/>
  <c r="T302" i="6" s="1"/>
  <c r="N312" i="6"/>
  <c r="N314" i="6" s="1"/>
  <c r="N315" i="6" s="1"/>
  <c r="U344" i="6"/>
  <c r="U346" i="6" s="1"/>
  <c r="U347" i="6" s="1"/>
  <c r="V328" i="6"/>
  <c r="V330" i="6" s="1"/>
  <c r="V331" i="6" s="1"/>
  <c r="L357" i="6"/>
  <c r="L359" i="6" s="1"/>
  <c r="L360" i="6" s="1"/>
  <c r="M312" i="6"/>
  <c r="M314" i="6" s="1"/>
  <c r="M315" i="6" s="1"/>
  <c r="V344" i="6"/>
  <c r="V346" i="6" s="1"/>
  <c r="V347" i="6" s="1"/>
  <c r="T312" i="6"/>
  <c r="T314" i="6" s="1"/>
  <c r="T315" i="6" s="1"/>
  <c r="R98" i="6"/>
  <c r="R100" i="6" s="1"/>
  <c r="R101" i="6" s="1"/>
  <c r="P98" i="6"/>
  <c r="P100" i="6" s="1"/>
  <c r="P101" i="6" s="1"/>
  <c r="Q312" i="6"/>
  <c r="Q314" i="6" s="1"/>
  <c r="Q315" i="6" s="1"/>
  <c r="W357" i="6"/>
  <c r="W359" i="6" s="1"/>
  <c r="W360" i="6" s="1"/>
  <c r="R85" i="6"/>
  <c r="R87" i="6" s="1"/>
  <c r="R88" i="6" s="1"/>
  <c r="P344" i="6"/>
  <c r="P346" i="6" s="1"/>
  <c r="P347" i="6" s="1"/>
  <c r="N328" i="6"/>
  <c r="N330" i="6" s="1"/>
  <c r="N331" i="6" s="1"/>
  <c r="U357" i="6"/>
  <c r="U359" i="6" s="1"/>
  <c r="U360" i="6" s="1"/>
  <c r="W98" i="6"/>
  <c r="W100" i="6" s="1"/>
  <c r="W101" i="6" s="1"/>
  <c r="P357" i="6"/>
  <c r="P359" i="6" s="1"/>
  <c r="P360" i="6" s="1"/>
  <c r="V299" i="6"/>
  <c r="V301" i="6" s="1"/>
  <c r="V302" i="6" s="1"/>
  <c r="S312" i="6"/>
  <c r="S314" i="6" s="1"/>
  <c r="S315" i="6" s="1"/>
  <c r="W85" i="6"/>
  <c r="W87" i="6" s="1"/>
  <c r="W88" i="6" s="1"/>
  <c r="T98" i="6"/>
  <c r="T100" i="6" s="1"/>
  <c r="T101" i="6" s="1"/>
  <c r="Q85" i="6"/>
  <c r="Q87" i="6" s="1"/>
  <c r="Q88" i="6" s="1"/>
  <c r="T357" i="6"/>
  <c r="T359" i="6" s="1"/>
  <c r="T360" i="6" s="1"/>
  <c r="N357" i="6"/>
  <c r="Q328" i="6"/>
  <c r="L312" i="6"/>
  <c r="W299" i="6"/>
  <c r="W301" i="6" s="1"/>
  <c r="W302" i="6" s="1"/>
  <c r="Q299" i="6"/>
  <c r="Q301" i="6" s="1"/>
  <c r="Q302" i="6" s="1"/>
  <c r="N299" i="6"/>
  <c r="N301" i="6" s="1"/>
  <c r="N302" i="6" s="1"/>
  <c r="L299" i="6"/>
  <c r="P85" i="6"/>
  <c r="P87" i="6" s="1"/>
  <c r="P88" i="6" s="1"/>
  <c r="S98" i="6"/>
  <c r="S100" i="6" s="1"/>
  <c r="S85" i="6"/>
  <c r="O69" i="6"/>
  <c r="L66" i="6"/>
  <c r="L68" i="6" s="1"/>
  <c r="Y81" i="6"/>
  <c r="Y78" i="6"/>
  <c r="R66" i="6"/>
  <c r="R68" i="6" s="1"/>
  <c r="U66" i="6"/>
  <c r="U68" i="6" s="1"/>
  <c r="W66" i="6"/>
  <c r="W68" i="6" s="1"/>
  <c r="Q66" i="6"/>
  <c r="Q68" i="6" s="1"/>
  <c r="S66" i="6"/>
  <c r="S68" i="6" s="1"/>
  <c r="Y75" i="6"/>
  <c r="Y363" i="6"/>
  <c r="Y72" i="6"/>
  <c r="Y353" i="6"/>
  <c r="Y308" i="6"/>
  <c r="Y91" i="6"/>
  <c r="Y295" i="6"/>
  <c r="Y292" i="6"/>
  <c r="Y365" i="6"/>
  <c r="Y340" i="6"/>
  <c r="Y337" i="6"/>
  <c r="Y334" i="6"/>
  <c r="Y324" i="6"/>
  <c r="Y321" i="6"/>
  <c r="Y62" i="6"/>
  <c r="Y318" i="6"/>
  <c r="Y94" i="6"/>
  <c r="Y59" i="6"/>
  <c r="Y350" i="6"/>
  <c r="Y305" i="6"/>
  <c r="L362" i="6"/>
  <c r="L304" i="6"/>
  <c r="L349" i="6"/>
  <c r="L333" i="6"/>
  <c r="L317" i="6"/>
  <c r="L207" i="6"/>
  <c r="L371" i="6"/>
  <c r="L194" i="6"/>
  <c r="L291" i="6"/>
  <c r="L103" i="6"/>
  <c r="L71" i="6"/>
  <c r="L90" i="6"/>
  <c r="L58" i="6"/>
  <c r="L9" i="6"/>
  <c r="O398" i="6" l="1"/>
  <c r="O399" i="6" s="1"/>
  <c r="O402" i="6" s="1"/>
  <c r="Y98" i="6"/>
  <c r="P398" i="6"/>
  <c r="P399" i="6" s="1"/>
  <c r="P402" i="6" s="1"/>
  <c r="M398" i="6"/>
  <c r="M399" i="6" s="1"/>
  <c r="M402" i="6" s="1"/>
  <c r="T398" i="6"/>
  <c r="T399" i="6" s="1"/>
  <c r="T402" i="6" s="1"/>
  <c r="Y344" i="6"/>
  <c r="L346" i="6"/>
  <c r="V398" i="6"/>
  <c r="V399" i="6" s="1"/>
  <c r="V402" i="6" s="1"/>
  <c r="N359" i="6"/>
  <c r="Y357" i="6"/>
  <c r="Q330" i="6"/>
  <c r="Q398" i="6" s="1"/>
  <c r="Q399" i="6" s="1"/>
  <c r="Q402" i="6" s="1"/>
  <c r="Y328" i="6"/>
  <c r="L314" i="6"/>
  <c r="Y312" i="6"/>
  <c r="Y299" i="6"/>
  <c r="L301" i="6"/>
  <c r="S101" i="6"/>
  <c r="Y101" i="6" s="1"/>
  <c r="Y100" i="6"/>
  <c r="S87" i="6"/>
  <c r="S398" i="6" s="1"/>
  <c r="S399" i="6" s="1"/>
  <c r="S402" i="6" s="1"/>
  <c r="Y85" i="6"/>
  <c r="S69" i="6"/>
  <c r="Q69" i="6"/>
  <c r="W69" i="6"/>
  <c r="W398" i="6"/>
  <c r="W399" i="6" s="1"/>
  <c r="W402" i="6" s="1"/>
  <c r="U69" i="6"/>
  <c r="U398" i="6"/>
  <c r="U399" i="6" s="1"/>
  <c r="U402" i="6" s="1"/>
  <c r="R69" i="6"/>
  <c r="R398" i="6"/>
  <c r="R399" i="6" s="1"/>
  <c r="R402" i="6" s="1"/>
  <c r="L69" i="6"/>
  <c r="Y68" i="6"/>
  <c r="Y66" i="6"/>
  <c r="A23" i="3"/>
  <c r="A24" i="3"/>
  <c r="A25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22" i="3"/>
  <c r="AE60" i="6" l="1"/>
  <c r="AE335" i="6"/>
  <c r="AG335" i="6" s="1"/>
  <c r="AJ335" i="6" s="1"/>
  <c r="AE322" i="6"/>
  <c r="AG322" i="6" s="1"/>
  <c r="AJ322" i="6" s="1"/>
  <c r="L73" i="6"/>
  <c r="AE293" i="6"/>
  <c r="AG293" i="6" s="1"/>
  <c r="AJ293" i="6" s="1"/>
  <c r="AE92" i="6"/>
  <c r="AG92" i="6" s="1"/>
  <c r="AJ92" i="6" s="1"/>
  <c r="AE351" i="6"/>
  <c r="AG351" i="6" s="1"/>
  <c r="AJ351" i="6" s="1"/>
  <c r="U63" i="6"/>
  <c r="AE306" i="6"/>
  <c r="AG306" i="6" s="1"/>
  <c r="AJ306" i="6" s="1"/>
  <c r="AE95" i="6"/>
  <c r="AG95" i="6" s="1"/>
  <c r="AJ95" i="6" s="1"/>
  <c r="AE354" i="6"/>
  <c r="AG354" i="6" s="1"/>
  <c r="AJ354" i="6" s="1"/>
  <c r="L398" i="6"/>
  <c r="L399" i="6" s="1"/>
  <c r="AA66" i="6"/>
  <c r="L347" i="6"/>
  <c r="Y347" i="6" s="1"/>
  <c r="Y346" i="6"/>
  <c r="N360" i="6"/>
  <c r="Y360" i="6" s="1"/>
  <c r="Y359" i="6"/>
  <c r="N398" i="6"/>
  <c r="N399" i="6" s="1"/>
  <c r="N402" i="6" s="1"/>
  <c r="Q331" i="6"/>
  <c r="Y331" i="6" s="1"/>
  <c r="Y330" i="6"/>
  <c r="AA328" i="6" s="1"/>
  <c r="L315" i="6"/>
  <c r="Y315" i="6" s="1"/>
  <c r="Y314" i="6"/>
  <c r="L302" i="6"/>
  <c r="Y302" i="6" s="1"/>
  <c r="Y301" i="6"/>
  <c r="AA299" i="6" s="1"/>
  <c r="AA91" i="6"/>
  <c r="AA94" i="6"/>
  <c r="AA100" i="6"/>
  <c r="AA98" i="6"/>
  <c r="S88" i="6"/>
  <c r="Y88" i="6" s="1"/>
  <c r="Y87" i="6"/>
  <c r="Y69" i="6"/>
  <c r="AA68" i="6"/>
  <c r="AA62" i="6"/>
  <c r="AA59" i="6"/>
  <c r="T60" i="6"/>
  <c r="P60" i="6"/>
  <c r="M60" i="6"/>
  <c r="V60" i="6"/>
  <c r="R60" i="6"/>
  <c r="S60" i="6"/>
  <c r="L60" i="6"/>
  <c r="AE341" i="6"/>
  <c r="AG341" i="6" s="1"/>
  <c r="AJ341" i="6" s="1"/>
  <c r="P63" i="6" l="1"/>
  <c r="V63" i="6"/>
  <c r="Q63" i="6"/>
  <c r="S63" i="6"/>
  <c r="R63" i="6"/>
  <c r="AE63" i="6"/>
  <c r="AG63" i="6" s="1"/>
  <c r="AJ63" i="6" s="1"/>
  <c r="M63" i="6"/>
  <c r="L63" i="6"/>
  <c r="N63" i="6"/>
  <c r="O63" i="6"/>
  <c r="Q60" i="6"/>
  <c r="T63" i="6"/>
  <c r="AG60" i="6"/>
  <c r="AJ60" i="6" s="1"/>
  <c r="N60" i="6"/>
  <c r="W63" i="6"/>
  <c r="W73" i="6"/>
  <c r="P73" i="6"/>
  <c r="O325" i="6"/>
  <c r="P325" i="6"/>
  <c r="W325" i="6"/>
  <c r="V325" i="6"/>
  <c r="M325" i="6"/>
  <c r="S325" i="6"/>
  <c r="Q325" i="6"/>
  <c r="T325" i="6"/>
  <c r="R325" i="6"/>
  <c r="U325" i="6"/>
  <c r="N325" i="6"/>
  <c r="L325" i="6"/>
  <c r="S73" i="6"/>
  <c r="AE76" i="6"/>
  <c r="AG76" i="6" s="1"/>
  <c r="AJ76" i="6" s="1"/>
  <c r="L76" i="6"/>
  <c r="S76" i="6"/>
  <c r="Q76" i="6"/>
  <c r="V76" i="6"/>
  <c r="R76" i="6"/>
  <c r="P76" i="6"/>
  <c r="W76" i="6"/>
  <c r="O76" i="6"/>
  <c r="M76" i="6"/>
  <c r="U76" i="6"/>
  <c r="N76" i="6"/>
  <c r="T76" i="6"/>
  <c r="AE325" i="6"/>
  <c r="AG325" i="6" s="1"/>
  <c r="AJ325" i="6" s="1"/>
  <c r="AE73" i="6"/>
  <c r="AG73" i="6" s="1"/>
  <c r="AJ73" i="6" s="1"/>
  <c r="V73" i="6"/>
  <c r="AE79" i="6"/>
  <c r="AG79" i="6" s="1"/>
  <c r="AJ79" i="6" s="1"/>
  <c r="U79" i="6"/>
  <c r="P79" i="6"/>
  <c r="V79" i="6"/>
  <c r="T79" i="6"/>
  <c r="S79" i="6"/>
  <c r="M79" i="6"/>
  <c r="O79" i="6"/>
  <c r="R79" i="6"/>
  <c r="L79" i="6"/>
  <c r="W79" i="6"/>
  <c r="N79" i="6"/>
  <c r="Q79" i="6"/>
  <c r="O60" i="6"/>
  <c r="O73" i="6"/>
  <c r="O322" i="6"/>
  <c r="U322" i="6"/>
  <c r="N322" i="6"/>
  <c r="Q322" i="6"/>
  <c r="L322" i="6"/>
  <c r="T322" i="6"/>
  <c r="M322" i="6"/>
  <c r="R322" i="6"/>
  <c r="W322" i="6"/>
  <c r="S322" i="6"/>
  <c r="P322" i="6"/>
  <c r="V322" i="6"/>
  <c r="AE82" i="6"/>
  <c r="AG82" i="6" s="1"/>
  <c r="AJ82" i="6" s="1"/>
  <c r="M82" i="6"/>
  <c r="L82" i="6"/>
  <c r="Q82" i="6"/>
  <c r="P82" i="6"/>
  <c r="T82" i="6"/>
  <c r="N82" i="6"/>
  <c r="R82" i="6"/>
  <c r="W82" i="6"/>
  <c r="O82" i="6"/>
  <c r="S82" i="6"/>
  <c r="V82" i="6"/>
  <c r="U82" i="6"/>
  <c r="W60" i="6"/>
  <c r="U73" i="6"/>
  <c r="O293" i="6"/>
  <c r="Q293" i="6"/>
  <c r="N293" i="6"/>
  <c r="V293" i="6"/>
  <c r="W293" i="6"/>
  <c r="R293" i="6"/>
  <c r="M293" i="6"/>
  <c r="T293" i="6"/>
  <c r="S293" i="6"/>
  <c r="L293" i="6"/>
  <c r="U293" i="6"/>
  <c r="P293" i="6"/>
  <c r="O92" i="6"/>
  <c r="S92" i="6"/>
  <c r="W92" i="6"/>
  <c r="V92" i="6"/>
  <c r="L92" i="6"/>
  <c r="N92" i="6"/>
  <c r="M92" i="6"/>
  <c r="Q92" i="6"/>
  <c r="R92" i="6"/>
  <c r="U92" i="6"/>
  <c r="T92" i="6"/>
  <c r="P92" i="6"/>
  <c r="R73" i="6"/>
  <c r="U296" i="6"/>
  <c r="M296" i="6"/>
  <c r="L296" i="6"/>
  <c r="O296" i="6"/>
  <c r="N296" i="6"/>
  <c r="S296" i="6"/>
  <c r="Q296" i="6"/>
  <c r="T296" i="6"/>
  <c r="V296" i="6"/>
  <c r="R296" i="6"/>
  <c r="W296" i="6"/>
  <c r="P296" i="6"/>
  <c r="O351" i="6"/>
  <c r="M351" i="6"/>
  <c r="S351" i="6"/>
  <c r="T351" i="6"/>
  <c r="P351" i="6"/>
  <c r="W351" i="6"/>
  <c r="R351" i="6"/>
  <c r="U351" i="6"/>
  <c r="Q351" i="6"/>
  <c r="L351" i="6"/>
  <c r="N351" i="6"/>
  <c r="V351" i="6"/>
  <c r="N73" i="6"/>
  <c r="O306" i="6"/>
  <c r="W306" i="6"/>
  <c r="U306" i="6"/>
  <c r="Q306" i="6"/>
  <c r="M306" i="6"/>
  <c r="R306" i="6"/>
  <c r="P306" i="6"/>
  <c r="S306" i="6"/>
  <c r="L306" i="6"/>
  <c r="N306" i="6"/>
  <c r="T306" i="6"/>
  <c r="V306" i="6"/>
  <c r="O335" i="6"/>
  <c r="S335" i="6"/>
  <c r="L335" i="6"/>
  <c r="Q335" i="6"/>
  <c r="M335" i="6"/>
  <c r="V335" i="6"/>
  <c r="W335" i="6"/>
  <c r="T335" i="6"/>
  <c r="P335" i="6"/>
  <c r="R335" i="6"/>
  <c r="U335" i="6"/>
  <c r="N335" i="6"/>
  <c r="M73" i="6"/>
  <c r="O309" i="6"/>
  <c r="S309" i="6"/>
  <c r="U309" i="6"/>
  <c r="M309" i="6"/>
  <c r="Q309" i="6"/>
  <c r="T309" i="6"/>
  <c r="V309" i="6"/>
  <c r="P309" i="6"/>
  <c r="W309" i="6"/>
  <c r="R309" i="6"/>
  <c r="L309" i="6"/>
  <c r="N309" i="6"/>
  <c r="O338" i="6"/>
  <c r="W338" i="6"/>
  <c r="Q338" i="6"/>
  <c r="P338" i="6"/>
  <c r="R338" i="6"/>
  <c r="S338" i="6"/>
  <c r="L338" i="6"/>
  <c r="N338" i="6"/>
  <c r="M338" i="6"/>
  <c r="U338" i="6"/>
  <c r="T338" i="6"/>
  <c r="V338" i="6"/>
  <c r="AE338" i="6"/>
  <c r="AG338" i="6" s="1"/>
  <c r="AJ338" i="6" s="1"/>
  <c r="Q73" i="6"/>
  <c r="O341" i="6"/>
  <c r="W341" i="6"/>
  <c r="N341" i="6"/>
  <c r="T341" i="6"/>
  <c r="R341" i="6"/>
  <c r="V341" i="6"/>
  <c r="U341" i="6"/>
  <c r="Q341" i="6"/>
  <c r="M341" i="6"/>
  <c r="P341" i="6"/>
  <c r="S341" i="6"/>
  <c r="L341" i="6"/>
  <c r="U60" i="6"/>
  <c r="T73" i="6"/>
  <c r="O319" i="6"/>
  <c r="P319" i="6"/>
  <c r="U319" i="6"/>
  <c r="R319" i="6"/>
  <c r="S319" i="6"/>
  <c r="V319" i="6"/>
  <c r="T319" i="6"/>
  <c r="M319" i="6"/>
  <c r="Q319" i="6"/>
  <c r="W319" i="6"/>
  <c r="N319" i="6"/>
  <c r="L319" i="6"/>
  <c r="O95" i="6"/>
  <c r="W95" i="6"/>
  <c r="T95" i="6"/>
  <c r="P95" i="6"/>
  <c r="Q95" i="6"/>
  <c r="M95" i="6"/>
  <c r="N95" i="6"/>
  <c r="S95" i="6"/>
  <c r="L95" i="6"/>
  <c r="U95" i="6"/>
  <c r="V95" i="6"/>
  <c r="R95" i="6"/>
  <c r="AE319" i="6"/>
  <c r="AG319" i="6" s="1"/>
  <c r="AJ319" i="6" s="1"/>
  <c r="AE309" i="6"/>
  <c r="AG309" i="6" s="1"/>
  <c r="AJ309" i="6" s="1"/>
  <c r="AE296" i="6"/>
  <c r="AG296" i="6" s="1"/>
  <c r="AJ296" i="6" s="1"/>
  <c r="O354" i="6"/>
  <c r="P354" i="6"/>
  <c r="V354" i="6"/>
  <c r="R354" i="6"/>
  <c r="S354" i="6"/>
  <c r="N354" i="6"/>
  <c r="L354" i="6"/>
  <c r="M354" i="6"/>
  <c r="T354" i="6"/>
  <c r="U354" i="6"/>
  <c r="Q354" i="6"/>
  <c r="W354" i="6"/>
  <c r="AA344" i="6"/>
  <c r="AA334" i="6"/>
  <c r="AA340" i="6"/>
  <c r="AA337" i="6"/>
  <c r="AA346" i="6"/>
  <c r="Y398" i="6"/>
  <c r="AB216" i="6" s="1"/>
  <c r="AA357" i="6"/>
  <c r="AA353" i="6"/>
  <c r="AA359" i="6"/>
  <c r="AA350" i="6"/>
  <c r="AA394" i="6"/>
  <c r="AA318" i="6"/>
  <c r="AA324" i="6"/>
  <c r="AA330" i="6"/>
  <c r="AA321" i="6"/>
  <c r="AA305" i="6"/>
  <c r="AA308" i="6"/>
  <c r="AA314" i="6"/>
  <c r="AA312" i="6"/>
  <c r="AA292" i="6"/>
  <c r="AA301" i="6"/>
  <c r="AA295" i="6"/>
  <c r="AA85" i="6"/>
  <c r="AA75" i="6"/>
  <c r="AA81" i="6"/>
  <c r="AA87" i="6"/>
  <c r="AA78" i="6"/>
  <c r="AA72" i="6"/>
  <c r="Y399" i="6"/>
  <c r="L402" i="6"/>
  <c r="Y402" i="6" s="1"/>
  <c r="Y63" i="6" l="1"/>
  <c r="Y60" i="6"/>
  <c r="Y73" i="6"/>
  <c r="Y82" i="6"/>
  <c r="Y306" i="6"/>
  <c r="Y351" i="6"/>
  <c r="Y338" i="6"/>
  <c r="Y293" i="6"/>
  <c r="Y319" i="6"/>
  <c r="Y354" i="6"/>
  <c r="Y341" i="6"/>
  <c r="Y335" i="6"/>
  <c r="Y92" i="6"/>
  <c r="Y95" i="6"/>
  <c r="Y296" i="6"/>
  <c r="Y79" i="6"/>
  <c r="Y76" i="6"/>
  <c r="Y309" i="6"/>
  <c r="Y322" i="6"/>
  <c r="Y325" i="6"/>
  <c r="AB390" i="6"/>
  <c r="AB255" i="6"/>
  <c r="AB286" i="6"/>
  <c r="AB143" i="6"/>
  <c r="AB264" i="6"/>
  <c r="AB111" i="6"/>
  <c r="AB229" i="6"/>
  <c r="AB113" i="6"/>
  <c r="AB150" i="6"/>
  <c r="AB120" i="6"/>
  <c r="AB214" i="6"/>
  <c r="AB225" i="6"/>
  <c r="AB261" i="6"/>
  <c r="AB16" i="6"/>
  <c r="AB241" i="6"/>
  <c r="AB381" i="6"/>
  <c r="AB68" i="6"/>
  <c r="AB357" i="6"/>
  <c r="AB344" i="6"/>
  <c r="AB328" i="6"/>
  <c r="AB299" i="6"/>
  <c r="AB98" i="6"/>
  <c r="AB85" i="6"/>
  <c r="AB66" i="6"/>
  <c r="AB312" i="6"/>
  <c r="AB176" i="6"/>
  <c r="AB372" i="6"/>
  <c r="AB222" i="6"/>
  <c r="AB235" i="6"/>
  <c r="AB139" i="6"/>
  <c r="AB253" i="6"/>
  <c r="AB72" i="6"/>
  <c r="AB62" i="6"/>
  <c r="AB141" i="6"/>
  <c r="AB118" i="6"/>
  <c r="AB394" i="6"/>
  <c r="AB182" i="6"/>
  <c r="AB387" i="6"/>
  <c r="AB314" i="6"/>
  <c r="AB129" i="6"/>
  <c r="AB257" i="6"/>
  <c r="AB359" i="6"/>
  <c r="AB33" i="6"/>
  <c r="AB249" i="6"/>
  <c r="AB27" i="6"/>
  <c r="AB184" i="6"/>
  <c r="AB244" i="6"/>
  <c r="AB227" i="6"/>
  <c r="AB305" i="6"/>
  <c r="AB106" i="6"/>
  <c r="AB346" i="6"/>
  <c r="AB42" i="6"/>
  <c r="AB277" i="6"/>
  <c r="AB268" i="6"/>
  <c r="AB295" i="6"/>
  <c r="AB25" i="6"/>
  <c r="AB283" i="6"/>
  <c r="AB10" i="6"/>
  <c r="AB189" i="6"/>
  <c r="AB158" i="6"/>
  <c r="AB78" i="6"/>
  <c r="AB368" i="6"/>
  <c r="AB330" i="6"/>
  <c r="AB197" i="6"/>
  <c r="AB337" i="6"/>
  <c r="AB378" i="6"/>
  <c r="AB201" i="6"/>
  <c r="AB44" i="6"/>
  <c r="AB231" i="6"/>
  <c r="AB212" i="6"/>
  <c r="AB12" i="6"/>
  <c r="AB251" i="6"/>
  <c r="AB18" i="6"/>
  <c r="AB324" i="6"/>
  <c r="AB279" i="6"/>
  <c r="AB40" i="6"/>
  <c r="AB115" i="6"/>
  <c r="AB132" i="6"/>
  <c r="AB363" i="6"/>
  <c r="AB87" i="6"/>
  <c r="AB148" i="6"/>
  <c r="AB122" i="6"/>
  <c r="AB23" i="6"/>
  <c r="AB180" i="6"/>
  <c r="AB308" i="6"/>
  <c r="AB50" i="6"/>
  <c r="AB169" i="6"/>
  <c r="AB350" i="6"/>
  <c r="AB59" i="6"/>
  <c r="AB31" i="6"/>
  <c r="AB334" i="6"/>
  <c r="AB81" i="6"/>
  <c r="AB53" i="6"/>
  <c r="AB14" i="6"/>
  <c r="AB104" i="6"/>
  <c r="AB208" i="6"/>
  <c r="AB321" i="6"/>
  <c r="AB125" i="6"/>
  <c r="AB186" i="6"/>
  <c r="AB218" i="6"/>
  <c r="AB199" i="6"/>
  <c r="AB353" i="6"/>
  <c r="AB154" i="6"/>
  <c r="AB292" i="6"/>
  <c r="AB163" i="6"/>
  <c r="AB167" i="6"/>
  <c r="AB301" i="6"/>
  <c r="AB173" i="6"/>
  <c r="AB204" i="6"/>
  <c r="AB152" i="6"/>
  <c r="AB55" i="6"/>
  <c r="AB136" i="6"/>
  <c r="AB247" i="6"/>
  <c r="AB48" i="6"/>
  <c r="AB156" i="6"/>
  <c r="AB270" i="6"/>
  <c r="AB91" i="6"/>
  <c r="AB375" i="6"/>
  <c r="AB75" i="6"/>
  <c r="AB161" i="6"/>
  <c r="AB94" i="6"/>
  <c r="AB266" i="6"/>
  <c r="AB237" i="6"/>
  <c r="AB134" i="6"/>
  <c r="AB146" i="6"/>
  <c r="AB171" i="6"/>
  <c r="AB127" i="6"/>
  <c r="AB38" i="6"/>
  <c r="AB288" i="6"/>
  <c r="AB20" i="6"/>
  <c r="AB178" i="6"/>
  <c r="AB281" i="6"/>
  <c r="AB340" i="6"/>
  <c r="AB100" i="6"/>
  <c r="AB35" i="6"/>
  <c r="AB318" i="6"/>
  <c r="AB210" i="6"/>
  <c r="AB275" i="6"/>
  <c r="AB195" i="6"/>
  <c r="AB108" i="6"/>
  <c r="AB29" i="6"/>
  <c r="AB46" i="6"/>
  <c r="AB233" i="6"/>
  <c r="AB165" i="6"/>
  <c r="AB273" i="6"/>
  <c r="AB191" i="6"/>
  <c r="AB38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<sst xmlns="http://schemas.openxmlformats.org/spreadsheetml/2006/main" count="1545" uniqueCount="789">
  <si>
    <t>ELECTION WEEK?</t>
  </si>
  <si>
    <t>START DATE</t>
  </si>
  <si>
    <t>WEEKS</t>
  </si>
  <si>
    <t>END DATE</t>
  </si>
  <si>
    <t>LENGTH</t>
  </si>
  <si>
    <t>CLIENT LOGO</t>
  </si>
  <si>
    <t>Estimated Q3 OOW A35+ CPP</t>
  </si>
  <si>
    <t>Estimated Q3 IW A35+ CPP</t>
  </si>
  <si>
    <t>Estimated Early Q4 A35+ CPP</t>
  </si>
  <si>
    <t>Estimated Late Q4 A35+ CPP</t>
  </si>
  <si>
    <t>Broadcast TV</t>
  </si>
  <si>
    <t>Total</t>
  </si>
  <si>
    <t>% of Broadcast</t>
  </si>
  <si>
    <t>% of Plan</t>
  </si>
  <si>
    <t>Points / Week</t>
  </si>
  <si>
    <t>$$$</t>
  </si>
  <si>
    <t>Market A</t>
  </si>
  <si>
    <t>Market B</t>
  </si>
  <si>
    <t>Market C</t>
  </si>
  <si>
    <t>Market D</t>
  </si>
  <si>
    <t>Market E</t>
  </si>
  <si>
    <t>Market F</t>
  </si>
  <si>
    <t>English-Language Broadcast Subtotal</t>
  </si>
  <si>
    <t>Estimated Q3 IW H25+ CPP</t>
  </si>
  <si>
    <t>Estimated Early Q4 H25+ CPP</t>
  </si>
  <si>
    <t>Estimated Late
Q4 H25+ CPP</t>
  </si>
  <si>
    <t>Spanish-Language TV</t>
  </si>
  <si>
    <t>% DMA Hispanic</t>
  </si>
  <si>
    <t>Spanish-Language Broadcast Subtotal</t>
  </si>
  <si>
    <t>CPS</t>
  </si>
  <si>
    <t>Broadcast Sports</t>
  </si>
  <si>
    <t>Network / Channel</t>
  </si>
  <si>
    <t>Team / Game / League</t>
  </si>
  <si>
    <t>Broadcast Sports Subtotal</t>
  </si>
  <si>
    <t>Broadcast Gross Total</t>
  </si>
  <si>
    <t>Broadcast Client Gross Total</t>
  </si>
  <si>
    <t>Estimated
Avg. CPM</t>
  </si>
  <si>
    <t>% of Streaming</t>
  </si>
  <si>
    <t>Streaming (CTV/OTT)</t>
  </si>
  <si>
    <t>Estimated Q3 OOW A35+ CPS</t>
  </si>
  <si>
    <t>Estimated Q3 IW A35+ CPS</t>
  </si>
  <si>
    <t>Estimated Early Q4 A35+ CPS</t>
  </si>
  <si>
    <t>Estimated Late Q4 A35+ CPS</t>
  </si>
  <si>
    <t>Cable TV</t>
  </si>
  <si>
    <t>Efficiency
(% in district)</t>
  </si>
  <si>
    <t>% of Cable</t>
  </si>
  <si>
    <t>Spots / week</t>
  </si>
  <si>
    <t>System Cable Subtotal</t>
  </si>
  <si>
    <t xml:space="preserve">Estimated 
Cost Per Spot </t>
  </si>
  <si>
    <t>News Networks</t>
  </si>
  <si>
    <t>News Networks Subtotal</t>
  </si>
  <si>
    <t>Sports</t>
  </si>
  <si>
    <t>Sports Subtotal</t>
  </si>
  <si>
    <t>Estimated CPM</t>
  </si>
  <si>
    <t>Addressable Cable</t>
  </si>
  <si>
    <t>Target</t>
  </si>
  <si>
    <t>Maximum Weekly Impressions</t>
  </si>
  <si>
    <t>IMPs</t>
  </si>
  <si>
    <t>IMPs (000)</t>
  </si>
  <si>
    <t>Cable Subscribers</t>
  </si>
  <si>
    <t>Addressable Cable Subtotal</t>
  </si>
  <si>
    <t>Cable TV Gross Total</t>
  </si>
  <si>
    <t>Cable TV Client Gross Total</t>
  </si>
  <si>
    <t>Addressable Satellite</t>
  </si>
  <si>
    <t>Universe</t>
  </si>
  <si>
    <t>% of Satellite</t>
  </si>
  <si>
    <t>Satellite Subscribers</t>
  </si>
  <si>
    <t>Addressable Satellite Gross Total</t>
  </si>
  <si>
    <t>Addressable Satellite Client Gross Total</t>
  </si>
  <si>
    <t>Radio</t>
  </si>
  <si>
    <t>Sample Stations</t>
  </si>
  <si>
    <t>% of Radio</t>
  </si>
  <si>
    <t>Estimated Q3 
OOW CPS</t>
  </si>
  <si>
    <t>Estimated Q3 
IW CPS</t>
  </si>
  <si>
    <t>Estimated Early 
Q4 CPS</t>
  </si>
  <si>
    <t>Estimated Late 
Q4 CPS</t>
  </si>
  <si>
    <t>Spots / Week</t>
  </si>
  <si>
    <t>Unmeasured General Audience Radio</t>
  </si>
  <si>
    <t>General Audience Radio Subtotal</t>
  </si>
  <si>
    <t>Spanish-Language Radio</t>
  </si>
  <si>
    <t>Unmeasured Spanish Language Radio</t>
  </si>
  <si>
    <t>Spanish-Language Radio Subtotal</t>
  </si>
  <si>
    <t>Black Radio</t>
  </si>
  <si>
    <t>Unmeasured Black Radio</t>
  </si>
  <si>
    <t>Black Radio Subtotal</t>
  </si>
  <si>
    <t>Unmeasured Radio Networks</t>
  </si>
  <si>
    <t>Number of Stations</t>
  </si>
  <si>
    <t>Network 1</t>
  </si>
  <si>
    <t>Network 2</t>
  </si>
  <si>
    <t>Network 3</t>
  </si>
  <si>
    <t>Unmeasured Radio Networks Subtotal</t>
  </si>
  <si>
    <t>Addressable Audio</t>
  </si>
  <si>
    <t>Radio Gross Total</t>
  </si>
  <si>
    <t>Radio Client Gross Total</t>
  </si>
  <si>
    <t>Programmatic Audio</t>
  </si>
  <si>
    <t>Podcasts</t>
  </si>
  <si>
    <t>Vertical Video</t>
  </si>
  <si>
    <t>Display</t>
  </si>
  <si>
    <t>Search</t>
  </si>
  <si>
    <t>Gross Total for All Media</t>
  </si>
  <si>
    <t>Client Gross Total for All Media</t>
  </si>
  <si>
    <t>Competitive Tracking, Ratings Data, Payment Delivery</t>
  </si>
  <si>
    <t>Total Spend</t>
  </si>
  <si>
    <t>Gross Value of COH</t>
  </si>
  <si>
    <t>All Rights Reserved.</t>
  </si>
  <si>
    <t xml:space="preserve"> </t>
  </si>
  <si>
    <t>Geo</t>
  </si>
  <si>
    <t>Language</t>
  </si>
  <si>
    <t>English</t>
  </si>
  <si>
    <t>Streaming (CTV/OTT) Total</t>
  </si>
  <si>
    <t>Streaming (CTV/OTT) Client Gross Total</t>
  </si>
  <si>
    <t>% of YouTube</t>
  </si>
  <si>
    <t>% of OLV</t>
  </si>
  <si>
    <t>Online Video Total</t>
  </si>
  <si>
    <t>Online Video Client Gross Total</t>
  </si>
  <si>
    <t>% of Audio</t>
  </si>
  <si>
    <t>% of Podcasts</t>
  </si>
  <si>
    <t>Podcasts Total</t>
  </si>
  <si>
    <t>Podcasts Client Gross Total</t>
  </si>
  <si>
    <t>% of Social</t>
  </si>
  <si>
    <t>% of Vertical</t>
  </si>
  <si>
    <t>Vertical Video Total</t>
  </si>
  <si>
    <t>% of Display</t>
  </si>
  <si>
    <t>Display Total</t>
  </si>
  <si>
    <t>Display Client Gross Total</t>
  </si>
  <si>
    <t>% of Search</t>
  </si>
  <si>
    <t>Clicks</t>
  </si>
  <si>
    <t>Search Total</t>
  </si>
  <si>
    <t>Search Client Gross Total</t>
  </si>
  <si>
    <t>GEOGRAPHY</t>
  </si>
  <si>
    <t>AUDIENCE</t>
  </si>
  <si>
    <t>Search Key - Do Not Delete Column</t>
  </si>
  <si>
    <t>Audience Name</t>
  </si>
  <si>
    <t>List Size (if applicable)</t>
  </si>
  <si>
    <t>URL</t>
  </si>
  <si>
    <t>SEARCH KEY</t>
  </si>
  <si>
    <t>CPM (GROSS)</t>
  </si>
  <si>
    <t>The Trade DeskCTV/OTT (0:06s)</t>
  </si>
  <si>
    <t>The Trade DeskCTV/OTT (0:15s)</t>
  </si>
  <si>
    <t>The Trade DeskCTV/OTT (0:30s)</t>
  </si>
  <si>
    <t>The Trade DeskCTV/OTT (0:60s)</t>
  </si>
  <si>
    <t>The Trade DeskCTV/OTT (0:90s)</t>
  </si>
  <si>
    <t>The Trade DeskOLV (0:06s)</t>
  </si>
  <si>
    <t>The Trade DeskOLV (0:15s)</t>
  </si>
  <si>
    <t>The Trade DeskOLV (0:30s)</t>
  </si>
  <si>
    <t>The Trade DeskOLV (0:60s)</t>
  </si>
  <si>
    <t>The Trade DeskOLV (0:90s)</t>
  </si>
  <si>
    <t>The Trade DeskAudio (0:06s)</t>
  </si>
  <si>
    <t>The Trade DeskAudio (0:15s)</t>
  </si>
  <si>
    <t>The Trade DeskAudio (0:30s)</t>
  </si>
  <si>
    <t>The Trade DeskAudio (0:60s)</t>
  </si>
  <si>
    <t>The Trade DeskAudio (0:90s)</t>
  </si>
  <si>
    <t>The Trade DeskPodcast (0:06s)</t>
  </si>
  <si>
    <t>The Trade DeskPodcast (0:15s)</t>
  </si>
  <si>
    <t>The Trade DeskPodcast (0:30s)</t>
  </si>
  <si>
    <t>The Trade DeskPodcast (0:60s)</t>
  </si>
  <si>
    <t>The Trade DeskPodcast (0:90s)</t>
  </si>
  <si>
    <t>The Trade DeskDisplay</t>
  </si>
  <si>
    <t>The Trade DeskCTV/OTT (0:15s / 0:30s)</t>
  </si>
  <si>
    <t>The Trade DeskCTV/OTT (0:30s / 0:60s)</t>
  </si>
  <si>
    <t>The Trade DeskOLV (0:15s / 0:30s)</t>
  </si>
  <si>
    <t>The Trade DeskOLV (0:06s / 0:15s)</t>
  </si>
  <si>
    <t>The Trade DeskLive Sports</t>
  </si>
  <si>
    <t/>
  </si>
  <si>
    <t>StackAdaptCTV/OTT (0:06s)</t>
  </si>
  <si>
    <t>StackAdaptCTV/OTT (0:15s)</t>
  </si>
  <si>
    <t>StackAdaptCTV/OTT (0:30s)</t>
  </si>
  <si>
    <t>StackAdaptCTV/OTT (0:60s)</t>
  </si>
  <si>
    <t>StackAdaptCTV/OTT (0:90s)</t>
  </si>
  <si>
    <t>StackAdaptOLV (0:06s)</t>
  </si>
  <si>
    <t>StackAdaptOLV (0:15s)</t>
  </si>
  <si>
    <t>StackAdaptOLV (0:30s)</t>
  </si>
  <si>
    <t>StackAdaptOLV (0:60s)</t>
  </si>
  <si>
    <t>StackAdaptOLV (0:90s)</t>
  </si>
  <si>
    <t>StackAdaptAudio (0:06s)</t>
  </si>
  <si>
    <t>StackAdaptAudio (0:15s)</t>
  </si>
  <si>
    <t>StackAdaptAudio (0:30s)</t>
  </si>
  <si>
    <t>StackAdaptAudio (0:60s)</t>
  </si>
  <si>
    <t>StackAdaptAudio (0:90s)</t>
  </si>
  <si>
    <t>StackAdaptPodcast (0:06s)</t>
  </si>
  <si>
    <t>StackAdaptPodcast (0:15s)</t>
  </si>
  <si>
    <t>StackAdaptPodcast (0:30s)</t>
  </si>
  <si>
    <t>StackAdaptPodcast (0:60s)</t>
  </si>
  <si>
    <t>StackAdaptPodcast (0:90s)</t>
  </si>
  <si>
    <t>StackAdaptDisplay</t>
  </si>
  <si>
    <t>StackAdaptCTV/OTT (0:15s / 0:30s)</t>
  </si>
  <si>
    <t>StackAdaptCTV/OTT (0:30s / 0:60s)</t>
  </si>
  <si>
    <t>StackAdaptOLV (0:15s / 0:30s)</t>
  </si>
  <si>
    <t>StackAdaptOLV (0:06s / 0:15s)</t>
  </si>
  <si>
    <t>GoogleSearch</t>
  </si>
  <si>
    <t>GoogleYouTube (0:06s Non-Skippable)</t>
  </si>
  <si>
    <t>GoogleYouTube (0:15s Skippable)</t>
  </si>
  <si>
    <t>GoogleYouTube (0:15s Non-Skippable)</t>
  </si>
  <si>
    <t>GoogleYouTube (0:30s Skippable)</t>
  </si>
  <si>
    <t>GoogleYouTube (0:60s Skippable)</t>
  </si>
  <si>
    <t>GoogleYouTube (0:90s Skippable)</t>
  </si>
  <si>
    <t>GoogleYouTube TV</t>
  </si>
  <si>
    <t>GoogleYouTube (0:30s Non-Skippable)</t>
  </si>
  <si>
    <t>GoogleYouTube (0:15s / 0:30s)</t>
  </si>
  <si>
    <t>GoogleYouTube Shorts</t>
  </si>
  <si>
    <t>DV360YouTube (0:06s Non-Skippable)</t>
  </si>
  <si>
    <t>DV360YouTube (0:15s Skippable)</t>
  </si>
  <si>
    <t>DV360YouTube (0:15s Non-Skippable)</t>
  </si>
  <si>
    <t>DV360YouTube (0:30s Skippable)</t>
  </si>
  <si>
    <t>DV360YouTube (0:60s Skippable)</t>
  </si>
  <si>
    <t>DV360YouTube (0:90s Skippable)</t>
  </si>
  <si>
    <t>DV360YouTube (0:30s Non-Skippable)</t>
  </si>
  <si>
    <t>DV360YouTube (0:15s / 0:30s)</t>
  </si>
  <si>
    <t>DV360YouTube Shorts</t>
  </si>
  <si>
    <t>DV360YouTube TV - Live Sports</t>
  </si>
  <si>
    <t>HuluCTV/OTT (0:15s)</t>
  </si>
  <si>
    <t>HuluCTV/OTT (0:30s)</t>
  </si>
  <si>
    <t>HuluCTV/OTT (0:60s)</t>
  </si>
  <si>
    <t>RokuCTV/OTT (0:15s)</t>
  </si>
  <si>
    <t>RokuCTV/OTT (0:30s)</t>
  </si>
  <si>
    <t>RokuCTV/OTT (0:60s)</t>
  </si>
  <si>
    <t>NBC/PeacockCTV/OTT (0:15s)</t>
  </si>
  <si>
    <t>NBC/PeacockCTV/OTT (0:30s)</t>
  </si>
  <si>
    <t>NBC/PeacockCTV/OTT (0:60s)</t>
  </si>
  <si>
    <t>NBC/PeacockLive Sports</t>
  </si>
  <si>
    <t>ABC/DisneyCTV/OTT (0:15s)</t>
  </si>
  <si>
    <t>ABC/DisneyCTV/OTT (0:30s)</t>
  </si>
  <si>
    <t>ABC/DisneyCTV/OTT (0:60s)</t>
  </si>
  <si>
    <t>Paramount/CBSCTV/OTT (0:15s)</t>
  </si>
  <si>
    <t>Paramount/CBSCTV/OTT (0:30s)</t>
  </si>
  <si>
    <t>Paramount/CBSCTV/OTT (0:60s)</t>
  </si>
  <si>
    <t>Paramount/CBSLive Sports</t>
  </si>
  <si>
    <t>MetaOLV (0:06s)</t>
  </si>
  <si>
    <t>MetaOLV (0:15s)</t>
  </si>
  <si>
    <t>MetaOLV (0:30s)</t>
  </si>
  <si>
    <t>MetaOLV (0:60s)</t>
  </si>
  <si>
    <t>MetaOLV (0:90s)</t>
  </si>
  <si>
    <t>MetaVertical Video (0:06s)</t>
  </si>
  <si>
    <t>MetaVertical Video (0:15s)</t>
  </si>
  <si>
    <t>MetaVertical Video (0:30s)</t>
  </si>
  <si>
    <t>MetaVertical Video (0:60s)</t>
  </si>
  <si>
    <t>MetaVertical Video (0:90s)</t>
  </si>
  <si>
    <t>MetaDisplay</t>
  </si>
  <si>
    <t>MetaVertical Display (Stories)</t>
  </si>
  <si>
    <t>SnapchatVertical Video (0:06s)</t>
  </si>
  <si>
    <t>SnapchatVertical Video (0:15s)</t>
  </si>
  <si>
    <t>SnapchatVertical Video (0:30s)</t>
  </si>
  <si>
    <t>SnapchatVertical Video (0:60s)</t>
  </si>
  <si>
    <t>SnapchatVertical Video (0:90s)</t>
  </si>
  <si>
    <t>SnapchatDisplay</t>
  </si>
  <si>
    <t>SnapchatVertical Display (Stories)</t>
  </si>
  <si>
    <t>MiQCTV/OTT (0:06s)</t>
  </si>
  <si>
    <t>MiQCTV/OTT (0:15s)</t>
  </si>
  <si>
    <t>MiQCTV/OTT (0:30s)</t>
  </si>
  <si>
    <t>MiQCTV/OTT (0:60s)</t>
  </si>
  <si>
    <t>MiQCTV/OTT (0:90s)</t>
  </si>
  <si>
    <t>MiQOLV (0:06s)</t>
  </si>
  <si>
    <t>MiQOLV (0:15s)</t>
  </si>
  <si>
    <t>MiQOLV (0:30s)</t>
  </si>
  <si>
    <t>MiQOLV (0:60s)</t>
  </si>
  <si>
    <t>MiQOLV (0:90s)</t>
  </si>
  <si>
    <t>MiQYouTube TV</t>
  </si>
  <si>
    <t>MiQYouTube (0:06s Non-Skippable)</t>
  </si>
  <si>
    <t>MiQYouTube (0:15s Skippable)</t>
  </si>
  <si>
    <t>MiQYouTube (0:15s Non-Skippable)</t>
  </si>
  <si>
    <t>MiQYouTube (0:30s Skippable)</t>
  </si>
  <si>
    <t>MiQYouTube (0:60s Skippable)</t>
  </si>
  <si>
    <t>MiQYouTube (0:90s Skippable)</t>
  </si>
  <si>
    <t>A4CTV/OTT (0:06s)</t>
  </si>
  <si>
    <t>A4CTV/OTT (0:15s)</t>
  </si>
  <si>
    <t>A4CTV/OTT (0:30s)</t>
  </si>
  <si>
    <t>A4CTV/OTT (0:60s)</t>
  </si>
  <si>
    <t>A4CTV/OTT (0:90s)</t>
  </si>
  <si>
    <t>A4OLV (0:06s)</t>
  </si>
  <si>
    <t>A4OLV (0:15s)</t>
  </si>
  <si>
    <t>A4OLV (0:30s)</t>
  </si>
  <si>
    <t>A4OLV (0:60s)</t>
  </si>
  <si>
    <t>A4OLV (0:90s)</t>
  </si>
  <si>
    <t>YahooCTV/OTT (0:06s)</t>
  </si>
  <si>
    <t>YahooCTV/OTT (0:15s)</t>
  </si>
  <si>
    <t>YahooCTV/OTT (0:30s)</t>
  </si>
  <si>
    <t>YahooCTV/OTT (0:60s)</t>
  </si>
  <si>
    <t>YahooCTV/OTT (0:90s)</t>
  </si>
  <si>
    <t>YahooOLV (0:06s)</t>
  </si>
  <si>
    <t>YahooOLV (0:15s)</t>
  </si>
  <si>
    <t>YahooOLV (0:30s)</t>
  </si>
  <si>
    <t>YahooOLV (0:60s)</t>
  </si>
  <si>
    <t>YahooOLV (0:90s)</t>
  </si>
  <si>
    <t>ResonateCTV/OTT (0:06s)</t>
  </si>
  <si>
    <t>ResonateCTV/OTT (0:15s)</t>
  </si>
  <si>
    <t>ResonateCTV/OTT (0:30s)</t>
  </si>
  <si>
    <t>ResonateCTV/OTT (0:60s)</t>
  </si>
  <si>
    <t>ResonateCTV/OTT (0:90s)</t>
  </si>
  <si>
    <t>ResonateOLV (0:06s)</t>
  </si>
  <si>
    <t>ResonateOLV (0:15s)</t>
  </si>
  <si>
    <t>ResonateOLV (0:30s)</t>
  </si>
  <si>
    <t>ResonateOLV (0:60s)</t>
  </si>
  <si>
    <t>ResonateOLV (0:90s)</t>
  </si>
  <si>
    <t>ResonateAudio (0:06s)</t>
  </si>
  <si>
    <t>ResonateAudio (0:15s)</t>
  </si>
  <si>
    <t>ResonateAudio (0:30s)</t>
  </si>
  <si>
    <t>ResonateAudio (0:60s)</t>
  </si>
  <si>
    <t>ResonateAudio (0:90s)</t>
  </si>
  <si>
    <t>ResonatePodcast (0:06s)</t>
  </si>
  <si>
    <t>ResonatePodcast (0:15s)</t>
  </si>
  <si>
    <t>ResonatePodcast (0:30s)</t>
  </si>
  <si>
    <t>ResonatePodcast (0:60s)</t>
  </si>
  <si>
    <t>ResonatePodcast (0:90s)</t>
  </si>
  <si>
    <t>ResonateDisplay</t>
  </si>
  <si>
    <t>GamutCTV/OTT (0:15s)</t>
  </si>
  <si>
    <t>GamutCTV/OTT (0:30s)</t>
  </si>
  <si>
    <t>GamutCTV/OTT (0:60s)</t>
  </si>
  <si>
    <t>UnivisionCTV/OTT (0:15s)</t>
  </si>
  <si>
    <t>UnivisionCTV/OTT (0:30s)</t>
  </si>
  <si>
    <t>UnivisionCTV/OTT (0:60s)</t>
  </si>
  <si>
    <t>TelemundoCTV/OTT (0:15s)</t>
  </si>
  <si>
    <t>TelemundoCTV/OTT (0:30s)</t>
  </si>
  <si>
    <t>TelemundoCTV/OTT (0:60s)</t>
  </si>
  <si>
    <t>KatzCTV/OTT (0:06s)</t>
  </si>
  <si>
    <t>KatzCTV/OTT (0:15s)</t>
  </si>
  <si>
    <t>KatzCTV/OTT (0:30s)</t>
  </si>
  <si>
    <t>KatzCTV/OTT (0:60s)</t>
  </si>
  <si>
    <t>KatzCTV/OTT (0:90s)</t>
  </si>
  <si>
    <t>KatzOLV (0:06s)</t>
  </si>
  <si>
    <t>KatzOLV (0:15s)</t>
  </si>
  <si>
    <t>KatzOLV (0:30s)</t>
  </si>
  <si>
    <t>KatzOLV (0:60s)</t>
  </si>
  <si>
    <t>KatzOLV (0:90s)</t>
  </si>
  <si>
    <t>KatzAudio (0:06s)</t>
  </si>
  <si>
    <t>KatzAudio (0:15s)</t>
  </si>
  <si>
    <t>KatzAudio (0:30s)</t>
  </si>
  <si>
    <t>KatzAudio (0:60s)</t>
  </si>
  <si>
    <t>KatzAudio (0:90s)</t>
  </si>
  <si>
    <t>KatzPodcast (0:06s)</t>
  </si>
  <si>
    <t>KatzPodcast (0:15s)</t>
  </si>
  <si>
    <t>KatzPodcast (0:30s)</t>
  </si>
  <si>
    <t>KatzPodcast (0:60s)</t>
  </si>
  <si>
    <t>KatzPodcast (0:90s)</t>
  </si>
  <si>
    <t>Genesis Media PartnersAudio (0:06s)</t>
  </si>
  <si>
    <t>Genesis Media PartnersAudio (0:15s)</t>
  </si>
  <si>
    <t>Genesis Media PartnersAudio (0:30s)</t>
  </si>
  <si>
    <t>Genesis Media PartnersAudio (0:60s)</t>
  </si>
  <si>
    <t>Genesis Media PartnersAudio (0:90s)</t>
  </si>
  <si>
    <t>Genesis Media PartnersPodcast (0:06s)</t>
  </si>
  <si>
    <t>Genesis Media PartnersPodcast (0:15s)</t>
  </si>
  <si>
    <t>Genesis Media PartnersPodcast (0:30s)</t>
  </si>
  <si>
    <t>Genesis Media PartnersPodcast (0:60s)</t>
  </si>
  <si>
    <t>Genesis Media PartnersPodcast (0:90s)</t>
  </si>
  <si>
    <t>SXM/PandoraAudio (0:06s)</t>
  </si>
  <si>
    <t>SXM/PandoraAudio (0:15s)</t>
  </si>
  <si>
    <t>SXM/PandoraAudio (0:30s)</t>
  </si>
  <si>
    <t>SXM/PandoraAudio (0:60s)</t>
  </si>
  <si>
    <t>SXM/PandoraAudio (0:90s)</t>
  </si>
  <si>
    <t>SXM/PandoraPodcast (0:06s)</t>
  </si>
  <si>
    <t>SXM/PandoraPodcast (0:15s)</t>
  </si>
  <si>
    <t>SXM/PandoraPodcast (0:30s)</t>
  </si>
  <si>
    <t>SXM/PandoraPodcast (0:60s)</t>
  </si>
  <si>
    <t>SXM/PandoraPodcast (0:90s)</t>
  </si>
  <si>
    <t>iHeartAudio (0:06s)</t>
  </si>
  <si>
    <t>iHeartAudio (0:15s)</t>
  </si>
  <si>
    <t>iHeartAudio (0:30s)</t>
  </si>
  <si>
    <t>iHeartAudio (0:60s)</t>
  </si>
  <si>
    <t>iHeartAudio (0:90s)</t>
  </si>
  <si>
    <t>iHeartPodcast (0:06s)</t>
  </si>
  <si>
    <t>iHeartPodcast (0:15s)</t>
  </si>
  <si>
    <t>iHeartPodcast (0:30s)</t>
  </si>
  <si>
    <t>iHeartPodcast (0:60s)</t>
  </si>
  <si>
    <t>iHeartPodcast (0:90s)</t>
  </si>
  <si>
    <t>Audiology by KatzAudio (0:06s)</t>
  </si>
  <si>
    <t>Audiology by KatzAudio (0:15s)</t>
  </si>
  <si>
    <t>Audiology by KatzAudio (0:30s)</t>
  </si>
  <si>
    <t>Audiology by KatzAudio (0:60s)</t>
  </si>
  <si>
    <t>Audiology by KatzAudio (0:90s)</t>
  </si>
  <si>
    <t>Audiology by KatzPodcast (0:06s)</t>
  </si>
  <si>
    <t>Audiology by KatzPodcast (0:15s)</t>
  </si>
  <si>
    <t>Audiology by KatzPodcast (0:30s)</t>
  </si>
  <si>
    <t>Audiology by KatzPodcast (0:60s)</t>
  </si>
  <si>
    <t>Audiology by KatzPodcast (0:90s)</t>
  </si>
  <si>
    <t>SpotifyAudio (0:06s)</t>
  </si>
  <si>
    <t>SpotifyAudio (0:15s)</t>
  </si>
  <si>
    <t>SpotifyAudio (0:30s)</t>
  </si>
  <si>
    <t>SpotifyAudio (0:60s)</t>
  </si>
  <si>
    <t>SpotifyAudio (0:90s)</t>
  </si>
  <si>
    <t>SpotifyPodcast (0:06s)</t>
  </si>
  <si>
    <t>SpotifyPodcast (0:15s)</t>
  </si>
  <si>
    <t>SpotifyPodcast (0:30s)</t>
  </si>
  <si>
    <t>SpotifyPodcast (0:60s)</t>
  </si>
  <si>
    <t>SpotifyPodcast (0:90s)</t>
  </si>
  <si>
    <t>AudacyAudio (0:06s)</t>
  </si>
  <si>
    <t>AudacyAudio (0:15s)</t>
  </si>
  <si>
    <t>AudacyAudio (0:30s)</t>
  </si>
  <si>
    <t>AudacyAudio (0:60s)</t>
  </si>
  <si>
    <t>AudacyAudio (0:90s)</t>
  </si>
  <si>
    <t>Katz Live (Sports)CTV/OTT (0:06s)</t>
  </si>
  <si>
    <t>Katz Live (Sports)CTV/OTT (0:15s)</t>
  </si>
  <si>
    <t>Katz Live (Sports)CTV/OTT (0:30s)</t>
  </si>
  <si>
    <t>Katz Live (Sports)CTV/OTT (0:60s)</t>
  </si>
  <si>
    <t>Katz Live (Sports)CTV/OTT (0:90s)</t>
  </si>
  <si>
    <t>Katz Live (Sports)OLV (0:06s)</t>
  </si>
  <si>
    <t>Katz Live (Sports)OLV (0:15s)</t>
  </si>
  <si>
    <t>Katz Live (Sports)OLV (0:30s)</t>
  </si>
  <si>
    <t>Katz Live (Sports)OLV (0:60s)</t>
  </si>
  <si>
    <t>Katz Live (Sports)OLV (0:90s)</t>
  </si>
  <si>
    <t>Katz Live (Sports)Live Sports</t>
  </si>
  <si>
    <t>ESPNCTV/OTT (0:06s)</t>
  </si>
  <si>
    <t>ESPNCTV/OTT (0:15s)</t>
  </si>
  <si>
    <t>ESPNCTV/OTT (0:30s)</t>
  </si>
  <si>
    <t>ESPNCTV/OTT (0:60s)</t>
  </si>
  <si>
    <t>ESPNCTV/OTT (0:90s)</t>
  </si>
  <si>
    <t>ESPNLive Sports</t>
  </si>
  <si>
    <t>XumoCTV/OTT (0:06s)</t>
  </si>
  <si>
    <t>XumoCTV/OTT (0:15s)</t>
  </si>
  <si>
    <t>XumoCTV/OTT (0:30s)</t>
  </si>
  <si>
    <t>XumoCTV/OTT (0:60s)</t>
  </si>
  <si>
    <t>XumoCTV/OTT (0:90s)</t>
  </si>
  <si>
    <t>TikTokOLV (0:15s)</t>
  </si>
  <si>
    <t>TikTokOLV (0:30s)</t>
  </si>
  <si>
    <t>TikTokOLV (0:15s / 0:30s)</t>
  </si>
  <si>
    <t>TikTokOLV (0:06s)</t>
  </si>
  <si>
    <t>TikTokOLV (0:06s / 0:15s)</t>
  </si>
  <si>
    <t>Fox LocalLive Sports</t>
  </si>
  <si>
    <t>Fox SportsLive Sports</t>
  </si>
  <si>
    <t>CG Total</t>
  </si>
  <si>
    <t>Subtotal</t>
  </si>
  <si>
    <t>Addressable Audio Subtotal</t>
  </si>
  <si>
    <t>Freq</t>
  </si>
  <si>
    <t>YouTube / YouTube TV</t>
  </si>
  <si>
    <t>EXAMPLE 1 - DEMO 1</t>
  </si>
  <si>
    <t>Online Video (OLV)</t>
  </si>
  <si>
    <t>Programmatic Audio Total</t>
  </si>
  <si>
    <t>Programmatic Audio Client Gross Total</t>
  </si>
  <si>
    <t>YouTube / YouTube TV Total</t>
  </si>
  <si>
    <t>YouTube / YouTube TV Client Gross Total</t>
  </si>
  <si>
    <t>Social Media</t>
  </si>
  <si>
    <t>CM360 - Ad Serving and Reporting</t>
  </si>
  <si>
    <t>Social Media Total</t>
  </si>
  <si>
    <t>Social Media Client Gross Total</t>
  </si>
  <si>
    <t>Vertical Video Subtotal</t>
  </si>
  <si>
    <t>Estimated
Avg. CPC</t>
  </si>
  <si>
    <t>Targeting</t>
  </si>
  <si>
    <t>AD SERVING</t>
  </si>
  <si>
    <t>Yes</t>
  </si>
  <si>
    <t>N/A</t>
  </si>
  <si>
    <t>AUD (000s)</t>
  </si>
  <si>
    <t>FREQ</t>
  </si>
  <si>
    <t>CPM</t>
  </si>
  <si>
    <t>StackAdapt - CTV/OTT (0:15s / 0:30s)</t>
  </si>
  <si>
    <t>Targeting / Universe Size</t>
  </si>
  <si>
    <t>Google - Search</t>
  </si>
  <si>
    <t>DV360 - YouTube (0:15s / 0:30s)</t>
  </si>
  <si>
    <t>DV360 - YouTube (0:30s Non-Skippable)</t>
  </si>
  <si>
    <t>DV360 - YouTube TV - Live Sports</t>
  </si>
  <si>
    <t>StackAdapt - OLV (0:15s / 0:30s)</t>
  </si>
  <si>
    <t>StackAdapt - Audio (0:15s)</t>
  </si>
  <si>
    <t>StackAdapt - Audio (0:30s)</t>
  </si>
  <si>
    <t>StackAdapt - Podcast (0:15s)</t>
  </si>
  <si>
    <t>StackAdapt - Podcast (0:30s)</t>
  </si>
  <si>
    <t>Meta - OLV (0:15s)</t>
  </si>
  <si>
    <t>Meta - Display</t>
  </si>
  <si>
    <t>Snapchat - Display</t>
  </si>
  <si>
    <t>Meta - Vertical Video (0:15s)</t>
  </si>
  <si>
    <t>Snapchat - Vertical Video (0:15s)</t>
  </si>
  <si>
    <t>DV360 - YouTube Shorts</t>
  </si>
  <si>
    <t>StackAdapt - Display</t>
  </si>
  <si>
    <t>INPUT OPTION</t>
  </si>
  <si>
    <t>The Trade Desk - CTV/OTT (0:06s)</t>
  </si>
  <si>
    <t>The Trade Desk - CTV/OTT (0:15s)</t>
  </si>
  <si>
    <t>The Trade Desk - CTV/OTT (0:30s)</t>
  </si>
  <si>
    <t>The Trade Desk - CTV/OTT (0:60s)</t>
  </si>
  <si>
    <t>The Trade Desk - CTV/OTT (0:90s)</t>
  </si>
  <si>
    <t>The Trade Desk - OLV (0:06s)</t>
  </si>
  <si>
    <t>The Trade Desk - OLV (0:15s)</t>
  </si>
  <si>
    <t>The Trade Desk - OLV (0:30s)</t>
  </si>
  <si>
    <t>The Trade Desk - OLV (0:60s)</t>
  </si>
  <si>
    <t>The Trade Desk - OLV (0:90s)</t>
  </si>
  <si>
    <t>The Trade Desk - Audio (0:06s)</t>
  </si>
  <si>
    <t>The Trade Desk - Audio (0:15s)</t>
  </si>
  <si>
    <t>The Trade Desk - Audio (0:30s)</t>
  </si>
  <si>
    <t>The Trade Desk - Audio (0:60s)</t>
  </si>
  <si>
    <t>The Trade Desk - Audio (0:90s)</t>
  </si>
  <si>
    <t>The Trade Desk - Podcast (0:06s)</t>
  </si>
  <si>
    <t>The Trade Desk - Podcast (0:15s)</t>
  </si>
  <si>
    <t>The Trade Desk - Podcast (0:30s)</t>
  </si>
  <si>
    <t>The Trade Desk - Podcast (0:60s)</t>
  </si>
  <si>
    <t>The Trade Desk - Podcast (0:90s)</t>
  </si>
  <si>
    <t>The Trade Desk - Display</t>
  </si>
  <si>
    <t>The Trade Desk - CTV/OTT (0:15s / 0:30s)</t>
  </si>
  <si>
    <t>The Trade Desk - CTV/OTT (0:30s / 0:60s)</t>
  </si>
  <si>
    <t>The Trade Desk - OLV (0:15s / 0:30s)</t>
  </si>
  <si>
    <t>The Trade Desk - OLV (0:06s / 0:15s)</t>
  </si>
  <si>
    <t>The Trade Desk - Live Sports</t>
  </si>
  <si>
    <t xml:space="preserve"> - </t>
  </si>
  <si>
    <t>StackAdapt - CTV/OTT (0:06s)</t>
  </si>
  <si>
    <t>StackAdapt - CTV/OTT (0:15s)</t>
  </si>
  <si>
    <t>StackAdapt - CTV/OTT (0:30s)</t>
  </si>
  <si>
    <t>StackAdapt - CTV/OTT (0:60s)</t>
  </si>
  <si>
    <t>StackAdapt - CTV/OTT (0:90s)</t>
  </si>
  <si>
    <t>StackAdapt - OLV (0:06s)</t>
  </si>
  <si>
    <t>StackAdapt - OLV (0:15s)</t>
  </si>
  <si>
    <t>StackAdapt - OLV (0:30s)</t>
  </si>
  <si>
    <t>StackAdapt - OLV (0:60s)</t>
  </si>
  <si>
    <t>StackAdapt - OLV (0:90s)</t>
  </si>
  <si>
    <t>StackAdapt - Audio (0:06s)</t>
  </si>
  <si>
    <t>StackAdapt - Audio (0:60s)</t>
  </si>
  <si>
    <t>StackAdapt - Audio (0:90s)</t>
  </si>
  <si>
    <t>StackAdapt - Podcast (0:06s)</t>
  </si>
  <si>
    <t>StackAdapt - Podcast (0:60s)</t>
  </si>
  <si>
    <t>StackAdapt - Podcast (0:90s)</t>
  </si>
  <si>
    <t>StackAdapt - CTV/OTT (0:30s / 0:60s)</t>
  </si>
  <si>
    <t>StackAdapt - OLV (0:06s / 0:15s)</t>
  </si>
  <si>
    <t>Google - YouTube (0:06s Non-Skippable)</t>
  </si>
  <si>
    <t>Google - YouTube (0:15s Skippable)</t>
  </si>
  <si>
    <t>Google - YouTube (0:15s Non-Skippable)</t>
  </si>
  <si>
    <t>Google - YouTube (0:30s Skippable)</t>
  </si>
  <si>
    <t>Google - YouTube (0:60s Skippable)</t>
  </si>
  <si>
    <t>Google - YouTube (0:90s Skippable)</t>
  </si>
  <si>
    <t>Google - YouTube TV</t>
  </si>
  <si>
    <t>Google - YouTube (0:30s Non-Skippable)</t>
  </si>
  <si>
    <t>Google - YouTube (0:15s / 0:30s)</t>
  </si>
  <si>
    <t>Google - YouTube Shorts</t>
  </si>
  <si>
    <t>DV360 - YouTube (0:06s Non-Skippable)</t>
  </si>
  <si>
    <t>DV360 - YouTube (0:15s Skippable)</t>
  </si>
  <si>
    <t>DV360 - YouTube (0:15s Non-Skippable)</t>
  </si>
  <si>
    <t>DV360 - YouTube (0:30s Skippable)</t>
  </si>
  <si>
    <t>DV360 - YouTube (0:60s Skippable)</t>
  </si>
  <si>
    <t>DV360 - YouTube (0:90s Skippable)</t>
  </si>
  <si>
    <t>Hulu - CTV/OTT (0:15s)</t>
  </si>
  <si>
    <t>Hulu - CTV/OTT (0:30s)</t>
  </si>
  <si>
    <t>Hulu - CTV/OTT (0:60s)</t>
  </si>
  <si>
    <t>Roku - CTV/OTT (0:15s)</t>
  </si>
  <si>
    <t>Roku - CTV/OTT (0:30s)</t>
  </si>
  <si>
    <t>Roku - CTV/OTT (0:60s)</t>
  </si>
  <si>
    <t>NBC/Peacock - CTV/OTT (0:15s)</t>
  </si>
  <si>
    <t>NBC/Peacock - CTV/OTT (0:30s)</t>
  </si>
  <si>
    <t>NBC/Peacock - CTV/OTT (0:60s)</t>
  </si>
  <si>
    <t>NBC/Peacock - Live Sports</t>
  </si>
  <si>
    <t>ABC/Disney - CTV/OTT (0:15s)</t>
  </si>
  <si>
    <t>ABC/Disney - CTV/OTT (0:30s)</t>
  </si>
  <si>
    <t>ABC/Disney - CTV/OTT (0:60s)</t>
  </si>
  <si>
    <t>Paramount/CBS - CTV/OTT (0:15s)</t>
  </si>
  <si>
    <t>Paramount/CBS - CTV/OTT (0:30s)</t>
  </si>
  <si>
    <t>Paramount/CBS - CTV/OTT (0:60s)</t>
  </si>
  <si>
    <t>Paramount/CBS - Live Sports</t>
  </si>
  <si>
    <t>Meta - OLV (0:06s)</t>
  </si>
  <si>
    <t>Meta - OLV (0:30s)</t>
  </si>
  <si>
    <t>Meta - OLV (0:60s)</t>
  </si>
  <si>
    <t>Meta - OLV (0:90s)</t>
  </si>
  <si>
    <t>Meta - Vertical Video (0:06s)</t>
  </si>
  <si>
    <t>Meta - Vertical Video (0:30s)</t>
  </si>
  <si>
    <t>Meta - Vertical Video (0:60s)</t>
  </si>
  <si>
    <t>Meta - Vertical Video (0:90s)</t>
  </si>
  <si>
    <t>Meta - Vertical Display (Stories)</t>
  </si>
  <si>
    <t>Snapchat - Vertical Video (0:06s)</t>
  </si>
  <si>
    <t>Snapchat - Vertical Video (0:30s)</t>
  </si>
  <si>
    <t>Snapchat - Vertical Video (0:60s)</t>
  </si>
  <si>
    <t>Snapchat - Vertical Video (0:90s)</t>
  </si>
  <si>
    <t>Snapchat - Vertical Display (Stories)</t>
  </si>
  <si>
    <t>MiQ - CTV/OTT (0:06s)</t>
  </si>
  <si>
    <t>MiQ - CTV/OTT (0:15s)</t>
  </si>
  <si>
    <t>MiQ - CTV/OTT (0:30s)</t>
  </si>
  <si>
    <t>MiQ - CTV/OTT (0:60s)</t>
  </si>
  <si>
    <t>MiQ - CTV/OTT (0:90s)</t>
  </si>
  <si>
    <t>MiQ - OLV (0:06s)</t>
  </si>
  <si>
    <t>MiQ - OLV (0:15s)</t>
  </si>
  <si>
    <t>MiQ - OLV (0:30s)</t>
  </si>
  <si>
    <t>MiQ - OLV (0:60s)</t>
  </si>
  <si>
    <t>MiQ - OLV (0:90s)</t>
  </si>
  <si>
    <t>MiQ - YouTube TV</t>
  </si>
  <si>
    <t>MiQ - YouTube (0:06s Non-Skippable)</t>
  </si>
  <si>
    <t>MiQ - YouTube (0:15s Skippable)</t>
  </si>
  <si>
    <t>MiQ - YouTube (0:15s Non-Skippable)</t>
  </si>
  <si>
    <t>MiQ - YouTube (0:30s Skippable)</t>
  </si>
  <si>
    <t>MiQ - YouTube (0:60s Skippable)</t>
  </si>
  <si>
    <t>MiQ - YouTube (0:90s Skippable)</t>
  </si>
  <si>
    <t>A4 - CTV/OTT (0:06s)</t>
  </si>
  <si>
    <t>A4 - CTV/OTT (0:15s)</t>
  </si>
  <si>
    <t>A4 - CTV/OTT (0:30s)</t>
  </si>
  <si>
    <t>A4 - CTV/OTT (0:60s)</t>
  </si>
  <si>
    <t>A4 - CTV/OTT (0:90s)</t>
  </si>
  <si>
    <t>A4 - OLV (0:06s)</t>
  </si>
  <si>
    <t>A4 - OLV (0:15s)</t>
  </si>
  <si>
    <t>A4 - OLV (0:30s)</t>
  </si>
  <si>
    <t>A4 - OLV (0:60s)</t>
  </si>
  <si>
    <t>A4 - OLV (0:90s)</t>
  </si>
  <si>
    <t>Yahoo - CTV/OTT (0:06s)</t>
  </si>
  <si>
    <t>Yahoo - CTV/OTT (0:15s)</t>
  </si>
  <si>
    <t>Yahoo - CTV/OTT (0:30s)</t>
  </si>
  <si>
    <t>Yahoo - CTV/OTT (0:60s)</t>
  </si>
  <si>
    <t>Yahoo - CTV/OTT (0:90s)</t>
  </si>
  <si>
    <t>Yahoo - OLV (0:06s)</t>
  </si>
  <si>
    <t>Yahoo - OLV (0:15s)</t>
  </si>
  <si>
    <t>Yahoo - OLV (0:30s)</t>
  </si>
  <si>
    <t>Yahoo - OLV (0:60s)</t>
  </si>
  <si>
    <t>Yahoo - OLV (0:90s)</t>
  </si>
  <si>
    <t>Resonate - CTV/OTT (0:06s)</t>
  </si>
  <si>
    <t>Resonate - CTV/OTT (0:15s)</t>
  </si>
  <si>
    <t>Resonate - CTV/OTT (0:30s)</t>
  </si>
  <si>
    <t>Resonate - CTV/OTT (0:60s)</t>
  </si>
  <si>
    <t>Resonate - CTV/OTT (0:90s)</t>
  </si>
  <si>
    <t>Resonate - OLV (0:06s)</t>
  </si>
  <si>
    <t>Resonate - OLV (0:15s)</t>
  </si>
  <si>
    <t>Resonate - OLV (0:30s)</t>
  </si>
  <si>
    <t>Resonate - OLV (0:60s)</t>
  </si>
  <si>
    <t>Resonate - OLV (0:90s)</t>
  </si>
  <si>
    <t>Resonate - Audio (0:06s)</t>
  </si>
  <si>
    <t>Resonate - Audio (0:15s)</t>
  </si>
  <si>
    <t>Resonate - Audio (0:30s)</t>
  </si>
  <si>
    <t>Resonate - Audio (0:60s)</t>
  </si>
  <si>
    <t>Resonate - Audio (0:90s)</t>
  </si>
  <si>
    <t>Resonate - Podcast (0:06s)</t>
  </si>
  <si>
    <t>Resonate - Podcast (0:15s)</t>
  </si>
  <si>
    <t>Resonate - Podcast (0:30s)</t>
  </si>
  <si>
    <t>Resonate - Podcast (0:60s)</t>
  </si>
  <si>
    <t>Resonate - Podcast (0:90s)</t>
  </si>
  <si>
    <t>Resonate - Display</t>
  </si>
  <si>
    <t>Gamut - CTV/OTT (0:15s)</t>
  </si>
  <si>
    <t>Gamut - CTV/OTT (0:30s)</t>
  </si>
  <si>
    <t>Gamut - CTV/OTT (0:60s)</t>
  </si>
  <si>
    <t>Univision - CTV/OTT (0:15s)</t>
  </si>
  <si>
    <t>Univision - CTV/OTT (0:30s)</t>
  </si>
  <si>
    <t>Univision - CTV/OTT (0:60s)</t>
  </si>
  <si>
    <t>Telemundo - CTV/OTT (0:15s)</t>
  </si>
  <si>
    <t>Telemundo - CTV/OTT (0:30s)</t>
  </si>
  <si>
    <t>Telemundo - CTV/OTT (0:60s)</t>
  </si>
  <si>
    <t>Katz - CTV/OTT (0:06s)</t>
  </si>
  <si>
    <t>Katz - CTV/OTT (0:15s)</t>
  </si>
  <si>
    <t>Katz - CTV/OTT (0:30s)</t>
  </si>
  <si>
    <t>Katz - CTV/OTT (0:60s)</t>
  </si>
  <si>
    <t>Katz - CTV/OTT (0:90s)</t>
  </si>
  <si>
    <t>Katz - OLV (0:06s)</t>
  </si>
  <si>
    <t>Katz - OLV (0:15s)</t>
  </si>
  <si>
    <t>Katz - OLV (0:30s)</t>
  </si>
  <si>
    <t>Katz - OLV (0:60s)</t>
  </si>
  <si>
    <t>Katz - OLV (0:90s)</t>
  </si>
  <si>
    <t>Katz - Audio (0:06s)</t>
  </si>
  <si>
    <t>Katz - Audio (0:15s)</t>
  </si>
  <si>
    <t>Katz - Audio (0:30s)</t>
  </si>
  <si>
    <t>Katz - Audio (0:60s)</t>
  </si>
  <si>
    <t>Katz - Audio (0:90s)</t>
  </si>
  <si>
    <t>Katz - Podcast (0:06s)</t>
  </si>
  <si>
    <t>Katz - Podcast (0:15s)</t>
  </si>
  <si>
    <t>Katz - Podcast (0:30s)</t>
  </si>
  <si>
    <t>Katz - Podcast (0:60s)</t>
  </si>
  <si>
    <t>Katz - Podcast (0:90s)</t>
  </si>
  <si>
    <t>Genesis Media Partners - Audio (0:06s)</t>
  </si>
  <si>
    <t>Genesis Media Partners - Audio (0:15s)</t>
  </si>
  <si>
    <t>Genesis Media Partners - Audio (0:30s)</t>
  </si>
  <si>
    <t>Genesis Media Partners - Audio (0:60s)</t>
  </si>
  <si>
    <t>Genesis Media Partners - Audio (0:90s)</t>
  </si>
  <si>
    <t>Genesis Media Partners - Podcast (0:06s)</t>
  </si>
  <si>
    <t>Genesis Media Partners - Podcast (0:15s)</t>
  </si>
  <si>
    <t>Genesis Media Partners - Podcast (0:30s)</t>
  </si>
  <si>
    <t>Genesis Media Partners - Podcast (0:60s)</t>
  </si>
  <si>
    <t>Genesis Media Partners - Podcast (0:90s)</t>
  </si>
  <si>
    <t>SXM/Pandora - Audio (0:06s)</t>
  </si>
  <si>
    <t>SXM/Pandora - Audio (0:15s)</t>
  </si>
  <si>
    <t>SXM/Pandora - Audio (0:30s)</t>
  </si>
  <si>
    <t>SXM/Pandora - Audio (0:60s)</t>
  </si>
  <si>
    <t>SXM/Pandora - Audio (0:90s)</t>
  </si>
  <si>
    <t>SXM/Pandora - Podcast (0:06s)</t>
  </si>
  <si>
    <t>SXM/Pandora - Podcast (0:15s)</t>
  </si>
  <si>
    <t>SXM/Pandora - Podcast (0:30s)</t>
  </si>
  <si>
    <t>SXM/Pandora - Podcast (0:60s)</t>
  </si>
  <si>
    <t>SXM/Pandora - Podcast (0:90s)</t>
  </si>
  <si>
    <t>iHeart - Audio (0:06s)</t>
  </si>
  <si>
    <t>iHeart - Audio (0:15s)</t>
  </si>
  <si>
    <t>iHeart - Audio (0:30s)</t>
  </si>
  <si>
    <t>iHeart - Audio (0:60s)</t>
  </si>
  <si>
    <t>iHeart - Audio (0:90s)</t>
  </si>
  <si>
    <t>iHeart - Podcast (0:06s)</t>
  </si>
  <si>
    <t>iHeart - Podcast (0:15s)</t>
  </si>
  <si>
    <t>iHeart - Podcast (0:30s)</t>
  </si>
  <si>
    <t>iHeart - Podcast (0:60s)</t>
  </si>
  <si>
    <t>iHeart - Podcast (0:90s)</t>
  </si>
  <si>
    <t>Audiology by Katz - Audio (0:06s)</t>
  </si>
  <si>
    <t>Audiology by Katz - Audio (0:15s)</t>
  </si>
  <si>
    <t>Audiology by Katz - Audio (0:30s)</t>
  </si>
  <si>
    <t>Audiology by Katz - Audio (0:60s)</t>
  </si>
  <si>
    <t>Audiology by Katz - Audio (0:90s)</t>
  </si>
  <si>
    <t>Audiology by Katz - Podcast (0:06s)</t>
  </si>
  <si>
    <t>Audiology by Katz - Podcast (0:15s)</t>
  </si>
  <si>
    <t>Audiology by Katz - Podcast (0:30s)</t>
  </si>
  <si>
    <t>Audiology by Katz - Podcast (0:60s)</t>
  </si>
  <si>
    <t>Audiology by Katz - Podcast (0:90s)</t>
  </si>
  <si>
    <t>Spotify - Audio (0:06s)</t>
  </si>
  <si>
    <t>Spotify - Audio (0:15s)</t>
  </si>
  <si>
    <t>Spotify - Audio (0:30s)</t>
  </si>
  <si>
    <t>Spotify - Audio (0:60s)</t>
  </si>
  <si>
    <t>Spotify - Audio (0:90s)</t>
  </si>
  <si>
    <t>Spotify - Podcast (0:06s)</t>
  </si>
  <si>
    <t>Spotify - Podcast (0:15s)</t>
  </si>
  <si>
    <t>Spotify - Podcast (0:30s)</t>
  </si>
  <si>
    <t>Spotify - Podcast (0:60s)</t>
  </si>
  <si>
    <t>Spotify - Podcast (0:90s)</t>
  </si>
  <si>
    <t>Audacy - Audio (0:06s)</t>
  </si>
  <si>
    <t>Audacy - Audio (0:15s)</t>
  </si>
  <si>
    <t>Audacy - Audio (0:30s)</t>
  </si>
  <si>
    <t>Audacy - Audio (0:60s)</t>
  </si>
  <si>
    <t>Audacy - Audio (0:90s)</t>
  </si>
  <si>
    <t>Katz Live (Sports) - CTV/OTT (0:06s)</t>
  </si>
  <si>
    <t>Katz Live (Sports) - CTV/OTT (0:15s)</t>
  </si>
  <si>
    <t>Katz Live (Sports) - CTV/OTT (0:30s)</t>
  </si>
  <si>
    <t>Katz Live (Sports) - CTV/OTT (0:60s)</t>
  </si>
  <si>
    <t>Katz Live (Sports) - CTV/OTT (0:90s)</t>
  </si>
  <si>
    <t>Katz Live (Sports) - OLV (0:06s)</t>
  </si>
  <si>
    <t>Katz Live (Sports) - OLV (0:15s)</t>
  </si>
  <si>
    <t>Katz Live (Sports) - OLV (0:30s)</t>
  </si>
  <si>
    <t>Katz Live (Sports) - OLV (0:60s)</t>
  </si>
  <si>
    <t>Katz Live (Sports) - OLV (0:90s)</t>
  </si>
  <si>
    <t>Katz Live (Sports) - Live Sports</t>
  </si>
  <si>
    <t>ESPN - CTV/OTT (0:06s)</t>
  </si>
  <si>
    <t>ESPN - CTV/OTT (0:15s)</t>
  </si>
  <si>
    <t>ESPN - CTV/OTT (0:30s)</t>
  </si>
  <si>
    <t>ESPN - CTV/OTT (0:60s)</t>
  </si>
  <si>
    <t>ESPN - CTV/OTT (0:90s)</t>
  </si>
  <si>
    <t>ESPN - Live Sports</t>
  </si>
  <si>
    <t>Xumo - CTV/OTT (0:06s)</t>
  </si>
  <si>
    <t>Xumo - CTV/OTT (0:15s)</t>
  </si>
  <si>
    <t>Xumo - CTV/OTT (0:30s)</t>
  </si>
  <si>
    <t>Xumo - CTV/OTT (0:60s)</t>
  </si>
  <si>
    <t>Xumo - CTV/OTT (0:90s)</t>
  </si>
  <si>
    <t>TikTok - OLV (0:15s)</t>
  </si>
  <si>
    <t>TikTok - OLV (0:30s)</t>
  </si>
  <si>
    <t>TikTok - OLV (0:15s / 0:30s)</t>
  </si>
  <si>
    <t>TikTok - OLV (0:06s)</t>
  </si>
  <si>
    <t>TikTok - OLV (0:06s / 0:15s)</t>
  </si>
  <si>
    <t>Fox Local - Live Sports</t>
  </si>
  <si>
    <t>Fox Sports - Live Sports</t>
  </si>
  <si>
    <t>StackAdaptLive Sports</t>
  </si>
  <si>
    <t>StackAdapt - Live Sports</t>
  </si>
  <si>
    <t>CLIENT TYPE:</t>
  </si>
  <si>
    <t>ELECTION:</t>
  </si>
  <si>
    <t>COMMISSION%</t>
  </si>
  <si>
    <t>WINDOW DATE (AUTO GENERATED)</t>
  </si>
  <si>
    <t>Copyright 2026, Sage Media Planning &amp; Placement, Inc.</t>
  </si>
  <si>
    <t>DV360YouTube Select (0:15s Non-Skippable)</t>
  </si>
  <si>
    <t>DV360 - YouTube Select (0:15s Non-Skippable)</t>
  </si>
  <si>
    <t>DV360YouTube Select (0:30s Non-Skippable)</t>
  </si>
  <si>
    <t>DV360 - YouTube Select (0:30s Non-Skippable)</t>
  </si>
  <si>
    <t>DO NOT DRAG THESE</t>
  </si>
  <si>
    <t>CPM Modifier (MANUAL)</t>
  </si>
  <si>
    <t>If data update is needed: drag broken formula down over values that are present. Then copy and paste as values and return to no fill. (YELLOW CELLS)</t>
  </si>
  <si>
    <t>Input Tactic</t>
  </si>
  <si>
    <t>% of Digital</t>
  </si>
  <si>
    <t>Digital and Streaming (CB-ONLY - DELETE IF ELSE)</t>
  </si>
  <si>
    <t>No</t>
  </si>
  <si>
    <t>MEDIA PLAN TEMPLATE</t>
  </si>
  <si>
    <t>CANDIDATE</t>
  </si>
  <si>
    <t>PRIMARY</t>
  </si>
  <si>
    <t>YES</t>
  </si>
  <si>
    <r>
      <t xml:space="preserve">% of </t>
    </r>
    <r>
      <rPr>
        <b/>
        <sz val="11"/>
        <color rgb="FFFF0000"/>
        <rFont val="Arial"/>
        <family val="2"/>
      </rPr>
      <t>District</t>
    </r>
    <r>
      <rPr>
        <b/>
        <sz val="11"/>
        <color rgb="FFFFFFFF"/>
        <rFont val="Arial"/>
        <family val="2"/>
      </rPr>
      <t xml:space="preserve"> Vote by DMA (add source)</t>
    </r>
  </si>
  <si>
    <r>
      <t xml:space="preserve">% of </t>
    </r>
    <r>
      <rPr>
        <b/>
        <sz val="11"/>
        <color rgb="FFFF0000"/>
        <rFont val="Arial"/>
        <family val="2"/>
      </rPr>
      <t>District</t>
    </r>
    <r>
      <rPr>
        <b/>
        <sz val="11"/>
        <color rgb="FFFFFFFF"/>
        <rFont val="Arial"/>
        <family val="2"/>
      </rPr>
      <t xml:space="preserve"> Voters Reached</t>
    </r>
  </si>
  <si>
    <r>
      <t xml:space="preserve">D2 - </t>
    </r>
    <r>
      <rPr>
        <sz val="11"/>
        <color rgb="FF000000"/>
        <rFont val="Arial"/>
        <family val="2"/>
      </rPr>
      <t>DirecTV &amp; Dish</t>
    </r>
  </si>
  <si>
    <t>CM360</t>
  </si>
  <si>
    <t>REQ IMPs</t>
  </si>
  <si>
    <t>Estimated Q3 OOW H25+ CPP</t>
  </si>
  <si>
    <t>DV360YouTube Select (0:15 / 0:30s Non-Skippable)</t>
  </si>
  <si>
    <t>DV360 - YouTube Select (0:15 / 0:30s Non-Skippable)</t>
  </si>
  <si>
    <t>DV360YouTube Select CTV (0:15 / 0:30s Non-Skippable)</t>
  </si>
  <si>
    <t>DV360 - YouTube Select CTV (0:15 / 0:30s Non-Skippable)</t>
  </si>
  <si>
    <t>DV360YouTube Select CTV (0:15s Non-Skippable)</t>
  </si>
  <si>
    <t>DV360 - YouTube Select CTV (0:15s Non-Skippable)</t>
  </si>
  <si>
    <t>DV360YouTube Select CTV (0:30s Non-Skippable)</t>
  </si>
  <si>
    <t>DV360 - YouTube Select CTV (0:30s Non-Skippable)</t>
  </si>
  <si>
    <t>DV360YouTube TV (0:15 / 0:30s Non-Skippable)</t>
  </si>
  <si>
    <t>DV360 - YouTube TV (0:15 / 0:30s Non-Skippable)</t>
  </si>
  <si>
    <t>DV360YouTube TV (0:15 Non-Skippable)</t>
  </si>
  <si>
    <t>DV360 - YouTube TV (0:15 Non-Skippable)</t>
  </si>
  <si>
    <t>DV360YouTube TV (0:30s Non-Skippable)</t>
  </si>
  <si>
    <t>DV360 - YouTube TV (0:30s Non-Skippable)</t>
  </si>
  <si>
    <t>DV360YouTube (0:06s / 0:15s / 0:30s - Non-Skippable)</t>
  </si>
  <si>
    <t>DV360 - YouTube (0:06s / 0:15s / 0:30s - Non-Skippable)</t>
  </si>
  <si>
    <t>Ad Serving Calculator</t>
  </si>
  <si>
    <t>Budget to Cut</t>
  </si>
  <si>
    <t>Media CPM</t>
  </si>
  <si>
    <t>Serving CPM</t>
  </si>
  <si>
    <t>Gross To Cut</t>
  </si>
  <si>
    <t>Languages</t>
  </si>
  <si>
    <t>Spanish</t>
  </si>
  <si>
    <t>LAST UPDATED 3/2/26</t>
  </si>
  <si>
    <t>Early In-person Voting Begins xx/xx</t>
  </si>
  <si>
    <t>Absentee Ballot Drop  xx/xx</t>
  </si>
  <si>
    <t>COVERAGE ESTIMATES</t>
  </si>
  <si>
    <t>Digital</t>
  </si>
  <si>
    <t>VOD</t>
  </si>
  <si>
    <t>YouTube</t>
  </si>
  <si>
    <t>YouTube TV</t>
  </si>
  <si>
    <t>TV Streaming Aggregate</t>
  </si>
  <si>
    <t>USA</t>
  </si>
  <si>
    <t>Healthcare Engaged</t>
  </si>
  <si>
    <t>Meta</t>
  </si>
  <si>
    <t>Audio Aggregate</t>
  </si>
  <si>
    <t>COVERAGE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</si>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</sst>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"/>
    <numFmt numFmtId="165" formatCode="&quot;$&quot;#,##0.00"/>
    <numFmt numFmtId="166" formatCode="0.0%"/>
  </numFmts>
  <fonts count="58"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u/>
      <sz val="11"/>
      <color rgb="FFC00000"/>
      <name val="Arial"/>
      <family val="2"/>
    </font>
    <font>
      <b/>
      <u/>
      <sz val="11"/>
      <color rgb="FF000000"/>
      <name val="Arial"/>
      <family val="2"/>
    </font>
    <font>
      <sz val="11"/>
      <color theme="1"/>
      <name val="Arial"/>
      <family val="2"/>
    </font>
    <font>
      <b/>
      <i/>
      <sz val="11"/>
      <color rgb="FF000000"/>
      <name val="Arial"/>
      <family val="2"/>
    </font>
    <font>
      <b/>
      <sz val="11"/>
      <color rgb="FF013D4D"/>
      <name val="Arial"/>
      <family val="2"/>
    </font>
    <font>
      <sz val="11"/>
      <color rgb="FF013D4D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Proxima Nova"/>
    </font>
    <font>
      <sz val="12"/>
      <color theme="1"/>
      <name val="Proxima Nova"/>
    </font>
    <font>
      <b/>
      <sz val="10"/>
      <color theme="0"/>
      <name val="Proxima Nova"/>
    </font>
    <font>
      <sz val="10"/>
      <color theme="1"/>
      <name val="Proxima Nova"/>
    </font>
    <font>
      <sz val="12"/>
      <color rgb="FFFFFFFF"/>
      <name val="Proxima Nova"/>
    </font>
    <font>
      <sz val="12"/>
      <color rgb="FF000000"/>
      <name val="Proxima Nova"/>
    </font>
    <font>
      <b/>
      <sz val="11"/>
      <color rgb="FFFF0000"/>
      <name val="Arial"/>
      <family val="2"/>
    </font>
    <font>
      <sz val="12"/>
      <name val="Proxima Nova"/>
    </font>
    <font>
      <i/>
      <sz val="11"/>
      <color rgb="FF000000"/>
      <name val="Arial"/>
      <family val="2"/>
    </font>
    <font>
      <sz val="11"/>
      <color rgb="FF9C57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2"/>
      <color rgb="FFFF0000"/>
      <name val="Proxima Nova"/>
    </font>
    <font>
      <sz val="12"/>
      <color theme="1"/>
      <name val="Aptos Narrow"/>
      <family val="2"/>
      <scheme val="minor"/>
    </font>
    <font>
      <b/>
      <sz val="11"/>
      <color rgb="FF666666"/>
      <name val="Arial"/>
      <family val="2"/>
    </font>
    <font>
      <b/>
      <sz val="11"/>
      <color rgb="FF1F497D"/>
      <name val="Arial"/>
      <family val="2"/>
    </font>
    <font>
      <b/>
      <i/>
      <sz val="11"/>
      <color rgb="FF674EA7"/>
      <name val="Arial"/>
      <family val="2"/>
    </font>
    <font>
      <b/>
      <i/>
      <sz val="11"/>
      <color theme="7" tint="-0.249977111117893"/>
      <name val="Arial"/>
      <family val="2"/>
    </font>
    <font>
      <b/>
      <sz val="11"/>
      <color rgb="FF3A7D22"/>
      <name val="Arial"/>
      <family val="2"/>
    </font>
    <font>
      <sz val="11"/>
      <name val="Aptos Narrow"/>
      <family val="2"/>
    </font>
    <font>
      <b/>
      <sz val="11"/>
      <color rgb="FF7030A0"/>
      <name val="Arial"/>
      <family val="2"/>
    </font>
    <font>
      <sz val="11"/>
      <color rgb="FF674EA7"/>
      <name val="Arial"/>
      <family val="2"/>
    </font>
    <font>
      <b/>
      <sz val="11"/>
      <color rgb="FF674EA7"/>
      <name val="Arial"/>
      <family val="2"/>
    </font>
    <font>
      <sz val="11"/>
      <color rgb="FF7030A0"/>
      <name val="Arial"/>
      <family val="2"/>
    </font>
    <font>
      <b/>
      <sz val="11"/>
      <name val="Arial"/>
      <family val="2"/>
    </font>
    <font>
      <b/>
      <sz val="11"/>
      <color theme="0" tint="-0.249977111117893"/>
      <name val="Arial"/>
      <family val="2"/>
    </font>
    <font>
      <sz val="11"/>
      <name val="Arial"/>
      <family val="2"/>
    </font>
    <font>
      <b/>
      <i/>
      <sz val="11"/>
      <color rgb="FF7030A0"/>
      <name val="Arial"/>
      <family val="2"/>
    </font>
    <font>
      <sz val="11"/>
      <color rgb="FF1F497D"/>
      <name val="Arial"/>
      <family val="2"/>
    </font>
    <font>
      <b/>
      <sz val="11"/>
      <color theme="7" tint="-0.249977111117893"/>
      <name val="Arial"/>
      <family val="2"/>
    </font>
    <font>
      <sz val="11"/>
      <color rgb="FF666666"/>
      <name val="Arial"/>
      <family val="2"/>
    </font>
    <font>
      <b/>
      <i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8000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434343"/>
      <name val="Arial"/>
      <family val="2"/>
    </font>
    <font>
      <b/>
      <sz val="20"/>
      <color rgb="FF000000"/>
      <name val="Arial"/>
      <family val="2"/>
    </font>
    <font>
      <sz val="11"/>
      <color theme="7" tint="-0.249977111117893"/>
      <name val="Arial"/>
      <family val="2"/>
    </font>
    <font>
      <sz val="12"/>
      <color theme="1"/>
      <name val="Aptos Narrow"/>
      <family val="2"/>
      <scheme val="minor"/>
    </font>
    <font>
      <sz val="12"/>
      <color rgb="FF1F497D"/>
      <name val="Arial"/>
      <family val="2"/>
    </font>
    <font>
      <sz val="12"/>
      <color rgb="FF7030A0"/>
      <name val="Arial"/>
      <family val="2"/>
    </font>
    <font>
      <sz val="12"/>
      <color rgb="FF000000"/>
      <name val="Arial"/>
      <family val="2"/>
    </font>
    <font>
      <b/>
      <i/>
      <sz val="12"/>
      <color theme="1"/>
      <name val="Proxima Nova"/>
    </font>
  </fonts>
  <fills count="1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073763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ck">
        <color rgb="FF073763"/>
      </left>
      <right/>
      <top style="thick">
        <color rgb="FF073763"/>
      </top>
      <bottom/>
      <diagonal/>
    </border>
    <border>
      <left/>
      <right/>
      <top style="thick">
        <color rgb="FF073763"/>
      </top>
      <bottom/>
      <diagonal/>
    </border>
    <border>
      <left/>
      <right style="thick">
        <color rgb="FF073763"/>
      </right>
      <top style="thick">
        <color rgb="FF073763"/>
      </top>
      <bottom/>
      <diagonal/>
    </border>
    <border>
      <left style="thick">
        <color rgb="FF073763"/>
      </left>
      <right/>
      <top/>
      <bottom style="thick">
        <color rgb="FF073763"/>
      </bottom>
      <diagonal/>
    </border>
    <border>
      <left/>
      <right/>
      <top/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/>
      <bottom style="thick">
        <color rgb="FF073763"/>
      </bottom>
      <diagonal/>
    </border>
    <border>
      <left/>
      <right style="thick">
        <color rgb="FF073763"/>
      </right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/>
      <right/>
      <top/>
      <bottom/>
      <diagonal/>
    </border>
    <border>
      <left style="thick">
        <color rgb="FFCCCCCC"/>
      </left>
      <right/>
      <top/>
      <bottom/>
      <diagonal/>
    </border>
    <border>
      <left style="thick">
        <color rgb="FFCCCCCC"/>
      </left>
      <right/>
      <top style="thick">
        <color rgb="FF073763"/>
      </top>
      <bottom/>
      <diagonal/>
    </border>
    <border>
      <left style="medium">
        <color indexed="64"/>
      </left>
      <right/>
      <top style="thick">
        <color rgb="FF073763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rgb="FF073763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6" fillId="13" borderId="0" applyNumberFormat="0" applyBorder="0" applyAlignment="0" applyProtection="0"/>
    <xf numFmtId="43" fontId="28" fillId="0" borderId="0" applyFont="0" applyFill="0" applyBorder="0" applyAlignment="0" applyProtection="0"/>
    <xf numFmtId="44" fontId="53" fillId="0" borderId="0" applyFont="0" applyFill="0" applyBorder="0" applyAlignment="0" applyProtection="0"/>
    <xf numFmtId="9" fontId="53" fillId="0" borderId="0" applyFont="0" applyFill="0" applyBorder="0" applyAlignment="0" applyProtection="0"/>
  </cellStyleXfs>
  <cellXfs count="266">
    <xf numFmtId="0" fontId="0" fillId="0" borderId="0" xfId="0"/>
    <xf numFmtId="0" fontId="3" fillId="0" borderId="0" xfId="0" applyFont="1"/>
    <xf numFmtId="9" fontId="3" fillId="0" borderId="0" xfId="0" applyNumberFormat="1" applyFont="1" applyAlignment="1">
      <alignment horizontal="center"/>
    </xf>
    <xf numFmtId="44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44" fontId="2" fillId="0" borderId="0" xfId="0" applyNumberFormat="1" applyFont="1"/>
    <xf numFmtId="0" fontId="2" fillId="0" borderId="0" xfId="0" applyFont="1"/>
    <xf numFmtId="164" fontId="5" fillId="2" borderId="6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44" fontId="6" fillId="0" borderId="0" xfId="0" applyNumberFormat="1" applyFont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7" fontId="3" fillId="0" borderId="0" xfId="0" applyNumberFormat="1" applyFont="1" applyAlignment="1">
      <alignment horizontal="center" vertical="center" wrapText="1"/>
    </xf>
    <xf numFmtId="7" fontId="3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44" fontId="3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7" fontId="2" fillId="0" borderId="0" xfId="0" applyNumberFormat="1" applyFont="1" applyAlignment="1">
      <alignment horizontal="center" vertical="center" wrapText="1"/>
    </xf>
    <xf numFmtId="7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166" fontId="3" fillId="0" borderId="0" xfId="0" applyNumberFormat="1" applyFont="1"/>
    <xf numFmtId="10" fontId="3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7" fontId="8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 wrapText="1"/>
    </xf>
    <xf numFmtId="7" fontId="11" fillId="0" borderId="0" xfId="0" applyNumberFormat="1" applyFont="1" applyAlignment="1">
      <alignment horizontal="center" vertical="center" wrapText="1"/>
    </xf>
    <xf numFmtId="7" fontId="1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7" fontId="10" fillId="0" borderId="0" xfId="0" applyNumberFormat="1" applyFont="1" applyAlignment="1">
      <alignment horizontal="center" vertical="center" wrapText="1"/>
    </xf>
    <xf numFmtId="7" fontId="10" fillId="0" borderId="0" xfId="0" applyNumberFormat="1" applyFont="1" applyAlignment="1">
      <alignment horizontal="center" vertical="center"/>
    </xf>
    <xf numFmtId="44" fontId="10" fillId="0" borderId="0" xfId="0" applyNumberFormat="1" applyFont="1" applyAlignment="1">
      <alignment horizontal="center" vertical="center" wrapText="1"/>
    </xf>
    <xf numFmtId="44" fontId="10" fillId="0" borderId="8" xfId="0" applyNumberFormat="1" applyFont="1" applyBorder="1" applyAlignment="1">
      <alignment horizontal="center" vertical="center" wrapText="1"/>
    </xf>
    <xf numFmtId="44" fontId="2" fillId="0" borderId="0" xfId="0" applyNumberFormat="1" applyFont="1" applyAlignment="1">
      <alignment horizontal="center"/>
    </xf>
    <xf numFmtId="14" fontId="5" fillId="2" borderId="0" xfId="0" applyNumberFormat="1" applyFont="1" applyFill="1" applyAlignment="1">
      <alignment horizontal="center" vertical="center" wrapText="1"/>
    </xf>
    <xf numFmtId="165" fontId="4" fillId="2" borderId="9" xfId="0" applyNumberFormat="1" applyFont="1" applyFill="1" applyBorder="1" applyAlignment="1">
      <alignment horizontal="center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6" fontId="4" fillId="2" borderId="6" xfId="0" applyNumberFormat="1" applyFont="1" applyFill="1" applyBorder="1" applyAlignment="1">
      <alignment horizontal="center" vertical="center" wrapText="1"/>
    </xf>
    <xf numFmtId="9" fontId="4" fillId="2" borderId="6" xfId="0" applyNumberFormat="1" applyFont="1" applyFill="1" applyBorder="1" applyAlignment="1">
      <alignment horizontal="center" vertical="center" wrapText="1"/>
    </xf>
    <xf numFmtId="7" fontId="12" fillId="2" borderId="6" xfId="0" applyNumberFormat="1" applyFont="1" applyFill="1" applyBorder="1" applyAlignment="1">
      <alignment horizontal="center" vertical="center" wrapText="1"/>
    </xf>
    <xf numFmtId="164" fontId="5" fillId="2" borderId="10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164" fontId="5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 wrapText="1"/>
    </xf>
    <xf numFmtId="0" fontId="13" fillId="4" borderId="11" xfId="0" applyFont="1" applyFill="1" applyBorder="1"/>
    <xf numFmtId="0" fontId="14" fillId="0" borderId="0" xfId="0" applyFont="1"/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0" fontId="16" fillId="0" borderId="0" xfId="0" applyFont="1"/>
    <xf numFmtId="3" fontId="15" fillId="5" borderId="11" xfId="0" applyNumberFormat="1" applyFont="1" applyFill="1" applyBorder="1" applyAlignment="1">
      <alignment vertical="center"/>
    </xf>
    <xf numFmtId="0" fontId="15" fillId="5" borderId="11" xfId="0" applyFont="1" applyFill="1" applyBorder="1" applyAlignment="1">
      <alignment vertical="center"/>
    </xf>
    <xf numFmtId="0" fontId="15" fillId="5" borderId="11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20" fillId="6" borderId="0" xfId="0" applyFont="1" applyFill="1"/>
    <xf numFmtId="0" fontId="14" fillId="7" borderId="0" xfId="0" applyFont="1" applyFill="1"/>
    <xf numFmtId="0" fontId="18" fillId="7" borderId="0" xfId="0" applyFont="1" applyFill="1"/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65" fontId="16" fillId="0" borderId="0" xfId="0" applyNumberFormat="1" applyFont="1" applyAlignment="1" applyProtection="1">
      <alignment horizontal="left" vertical="center" wrapText="1"/>
      <protection locked="0"/>
    </xf>
    <xf numFmtId="3" fontId="16" fillId="0" borderId="0" xfId="0" applyNumberFormat="1" applyFont="1" applyAlignment="1" applyProtection="1">
      <alignment horizontal="center"/>
      <protection locked="0"/>
    </xf>
    <xf numFmtId="3" fontId="16" fillId="0" borderId="0" xfId="0" applyNumberFormat="1" applyFont="1" applyAlignment="1" applyProtection="1">
      <alignment horizontal="center" vertical="center"/>
      <protection locked="0"/>
    </xf>
    <xf numFmtId="3" fontId="16" fillId="0" borderId="0" xfId="0" applyNumberFormat="1" applyFont="1" applyProtection="1">
      <protection locked="0"/>
    </xf>
    <xf numFmtId="2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 wrapText="1"/>
    </xf>
    <xf numFmtId="0" fontId="3" fillId="9" borderId="5" xfId="0" applyFont="1" applyFill="1" applyBorder="1"/>
    <xf numFmtId="9" fontId="3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25" fillId="11" borderId="0" xfId="2" applyFont="1" applyAlignment="1">
      <alignment horizontal="center"/>
    </xf>
    <xf numFmtId="14" fontId="25" fillId="11" borderId="0" xfId="2" applyNumberFormat="1" applyFont="1" applyAlignment="1">
      <alignment horizontal="center" vertical="center"/>
    </xf>
    <xf numFmtId="9" fontId="25" fillId="11" borderId="0" xfId="2" applyNumberFormat="1" applyFont="1" applyAlignment="1">
      <alignment horizontal="center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3" fillId="11" borderId="0" xfId="2"/>
    <xf numFmtId="0" fontId="26" fillId="13" borderId="0" xfId="3"/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8" fillId="0" borderId="0" xfId="0" applyFont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22" fillId="10" borderId="0" xfId="1" applyNumberForma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8" fillId="3" borderId="0" xfId="0" applyNumberFormat="1" applyFont="1" applyFill="1" applyAlignment="1">
      <alignment horizontal="center"/>
    </xf>
    <xf numFmtId="1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44" fontId="8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4" fontId="4" fillId="0" borderId="0" xfId="0" applyNumberFormat="1" applyFont="1" applyAlignment="1">
      <alignment vertical="center"/>
    </xf>
    <xf numFmtId="10" fontId="3" fillId="0" borderId="0" xfId="0" applyNumberFormat="1" applyFont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44" fontId="10" fillId="0" borderId="0" xfId="0" applyNumberFormat="1" applyFont="1" applyAlignment="1">
      <alignment vertical="center"/>
    </xf>
    <xf numFmtId="44" fontId="10" fillId="0" borderId="8" xfId="0" applyNumberFormat="1" applyFont="1" applyBorder="1" applyAlignment="1">
      <alignment vertical="center"/>
    </xf>
    <xf numFmtId="10" fontId="3" fillId="0" borderId="0" xfId="0" applyNumberFormat="1" applyFont="1" applyAlignment="1">
      <alignment vertical="center"/>
    </xf>
    <xf numFmtId="10" fontId="3" fillId="0" borderId="8" xfId="0" applyNumberFormat="1" applyFont="1" applyBorder="1" applyAlignment="1">
      <alignment vertical="center"/>
    </xf>
    <xf numFmtId="0" fontId="10" fillId="0" borderId="15" xfId="0" applyFont="1" applyBorder="1" applyAlignment="1">
      <alignment horizontal="center" vertical="center" wrapText="1"/>
    </xf>
    <xf numFmtId="165" fontId="35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66" fontId="36" fillId="0" borderId="0" xfId="0" applyNumberFormat="1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7" fillId="8" borderId="11" xfId="0" applyFont="1" applyFill="1" applyBorder="1" applyAlignment="1">
      <alignment horizontal="center" vertical="center" wrapText="1"/>
    </xf>
    <xf numFmtId="7" fontId="37" fillId="0" borderId="0" xfId="0" applyNumberFormat="1" applyFont="1" applyAlignment="1">
      <alignment horizontal="center" vertical="center" wrapText="1"/>
    </xf>
    <xf numFmtId="44" fontId="35" fillId="0" borderId="0" xfId="0" applyNumberFormat="1" applyFont="1" applyAlignment="1">
      <alignment horizontal="center" vertical="center" wrapText="1"/>
    </xf>
    <xf numFmtId="44" fontId="38" fillId="0" borderId="8" xfId="0" applyNumberFormat="1" applyFont="1" applyBorder="1" applyAlignment="1">
      <alignment horizontal="center" vertical="center" wrapText="1"/>
    </xf>
    <xf numFmtId="44" fontId="38" fillId="0" borderId="0" xfId="0" applyNumberFormat="1" applyFont="1" applyAlignment="1">
      <alignment horizontal="center" vertical="center" wrapText="1"/>
    </xf>
    <xf numFmtId="44" fontId="38" fillId="0" borderId="0" xfId="0" applyNumberFormat="1" applyFont="1"/>
    <xf numFmtId="0" fontId="38" fillId="0" borderId="0" xfId="0" applyFont="1"/>
    <xf numFmtId="44" fontId="35" fillId="0" borderId="0" xfId="0" applyNumberFormat="1" applyFont="1"/>
    <xf numFmtId="0" fontId="35" fillId="0" borderId="0" xfId="0" applyFont="1"/>
    <xf numFmtId="0" fontId="39" fillId="0" borderId="1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40" fillId="8" borderId="11" xfId="0" applyFont="1" applyFill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/>
    </xf>
    <xf numFmtId="165" fontId="41" fillId="0" borderId="11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4" fontId="3" fillId="0" borderId="0" xfId="0" applyNumberFormat="1" applyFont="1" applyAlignment="1">
      <alignment vertical="center"/>
    </xf>
    <xf numFmtId="44" fontId="3" fillId="0" borderId="8" xfId="0" applyNumberFormat="1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44" fontId="2" fillId="0" borderId="8" xfId="0" applyNumberFormat="1" applyFont="1" applyBorder="1" applyAlignment="1">
      <alignment vertical="center"/>
    </xf>
    <xf numFmtId="165" fontId="9" fillId="0" borderId="0" xfId="0" applyNumberFormat="1" applyFont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165" fontId="42" fillId="0" borderId="0" xfId="0" applyNumberFormat="1" applyFont="1" applyAlignment="1">
      <alignment horizontal="center" vertical="center" wrapText="1"/>
    </xf>
    <xf numFmtId="44" fontId="38" fillId="0" borderId="0" xfId="0" applyNumberFormat="1" applyFont="1" applyAlignment="1">
      <alignment vertical="center"/>
    </xf>
    <xf numFmtId="44" fontId="38" fillId="0" borderId="8" xfId="0" applyNumberFormat="1" applyFont="1" applyBorder="1" applyAlignment="1">
      <alignment vertical="center"/>
    </xf>
    <xf numFmtId="8" fontId="3" fillId="0" borderId="0" xfId="0" applyNumberFormat="1" applyFont="1"/>
    <xf numFmtId="166" fontId="8" fillId="0" borderId="0" xfId="0" applyNumberFormat="1" applyFont="1"/>
    <xf numFmtId="9" fontId="8" fillId="0" borderId="0" xfId="0" applyNumberFormat="1" applyFont="1"/>
    <xf numFmtId="0" fontId="8" fillId="8" borderId="11" xfId="0" applyFont="1" applyFill="1" applyBorder="1"/>
    <xf numFmtId="7" fontId="37" fillId="0" borderId="0" xfId="0" applyNumberFormat="1" applyFont="1" applyAlignment="1">
      <alignment horizontal="center" wrapText="1"/>
    </xf>
    <xf numFmtId="10" fontId="11" fillId="0" borderId="0" xfId="0" applyNumberFormat="1" applyFont="1" applyAlignment="1">
      <alignment horizontal="center" vertical="center"/>
    </xf>
    <xf numFmtId="10" fontId="11" fillId="0" borderId="8" xfId="0" applyNumberFormat="1" applyFont="1" applyBorder="1" applyAlignment="1">
      <alignment horizontal="center" vertical="center"/>
    </xf>
    <xf numFmtId="0" fontId="8" fillId="0" borderId="15" xfId="0" applyFont="1" applyBorder="1"/>
    <xf numFmtId="0" fontId="11" fillId="0" borderId="0" xfId="0" applyFont="1"/>
    <xf numFmtId="10" fontId="3" fillId="0" borderId="11" xfId="0" applyNumberFormat="1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horizontal="center" vertical="center" wrapText="1"/>
    </xf>
    <xf numFmtId="0" fontId="30" fillId="8" borderId="11" xfId="0" applyFont="1" applyFill="1" applyBorder="1" applyAlignment="1">
      <alignment horizontal="center" vertical="center" wrapText="1"/>
    </xf>
    <xf numFmtId="7" fontId="4" fillId="0" borderId="0" xfId="0" applyNumberFormat="1" applyFont="1" applyAlignment="1">
      <alignment horizontal="center" vertical="center" wrapText="1"/>
    </xf>
    <xf numFmtId="8" fontId="8" fillId="0" borderId="0" xfId="0" applyNumberFormat="1" applyFont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7" fontId="30" fillId="0" borderId="0" xfId="0" applyNumberFormat="1" applyFont="1" applyAlignment="1">
      <alignment horizontal="center" vertical="center" wrapText="1"/>
    </xf>
    <xf numFmtId="44" fontId="43" fillId="0" borderId="0" xfId="0" applyNumberFormat="1" applyFont="1" applyAlignment="1">
      <alignment vertical="center"/>
    </xf>
    <xf numFmtId="44" fontId="43" fillId="0" borderId="0" xfId="0" applyNumberFormat="1" applyFont="1"/>
    <xf numFmtId="0" fontId="43" fillId="0" borderId="0" xfId="0" applyFont="1"/>
    <xf numFmtId="0" fontId="38" fillId="0" borderId="0" xfId="0" applyFont="1" applyAlignment="1">
      <alignment vertical="center"/>
    </xf>
    <xf numFmtId="166" fontId="45" fillId="0" borderId="0" xfId="0" applyNumberFormat="1" applyFont="1" applyAlignment="1">
      <alignment horizontal="center" vertical="center" wrapText="1"/>
    </xf>
    <xf numFmtId="9" fontId="45" fillId="0" borderId="0" xfId="0" applyNumberFormat="1" applyFont="1" applyAlignment="1">
      <alignment horizontal="center" vertical="center" wrapText="1"/>
    </xf>
    <xf numFmtId="0" fontId="29" fillId="8" borderId="11" xfId="0" applyFont="1" applyFill="1" applyBorder="1" applyAlignment="1">
      <alignment horizontal="center" vertical="center" wrapText="1"/>
    </xf>
    <xf numFmtId="7" fontId="29" fillId="0" borderId="0" xfId="0" applyNumberFormat="1" applyFont="1" applyAlignment="1">
      <alignment horizontal="center" vertical="center" wrapText="1"/>
    </xf>
    <xf numFmtId="7" fontId="30" fillId="0" borderId="0" xfId="0" applyNumberFormat="1" applyFont="1" applyAlignment="1">
      <alignment horizontal="center" vertical="center"/>
    </xf>
    <xf numFmtId="7" fontId="33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6" fontId="47" fillId="0" borderId="0" xfId="0" applyNumberFormat="1" applyFont="1" applyAlignment="1">
      <alignment horizontal="center" vertical="center"/>
    </xf>
    <xf numFmtId="16" fontId="8" fillId="0" borderId="0" xfId="0" applyNumberFormat="1" applyFont="1" applyAlignment="1">
      <alignment vertical="center"/>
    </xf>
    <xf numFmtId="16" fontId="8" fillId="0" borderId="11" xfId="0" applyNumberFormat="1" applyFont="1" applyBorder="1" applyAlignment="1">
      <alignment vertical="center"/>
    </xf>
    <xf numFmtId="7" fontId="8" fillId="0" borderId="0" xfId="0" applyNumberFormat="1" applyFont="1" applyAlignment="1">
      <alignment vertical="center"/>
    </xf>
    <xf numFmtId="44" fontId="48" fillId="0" borderId="0" xfId="0" applyNumberFormat="1" applyFont="1" applyAlignment="1">
      <alignment vertical="center"/>
    </xf>
    <xf numFmtId="43" fontId="8" fillId="0" borderId="0" xfId="4" applyFont="1" applyAlignment="1">
      <alignment vertical="center"/>
    </xf>
    <xf numFmtId="0" fontId="4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vertical="center"/>
    </xf>
    <xf numFmtId="9" fontId="47" fillId="0" borderId="0" xfId="0" applyNumberFormat="1" applyFont="1" applyAlignment="1">
      <alignment vertical="center"/>
    </xf>
    <xf numFmtId="7" fontId="3" fillId="0" borderId="0" xfId="0" applyNumberFormat="1" applyFont="1"/>
    <xf numFmtId="0" fontId="3" fillId="0" borderId="0" xfId="0" applyFont="1" applyAlignment="1">
      <alignment horizontal="right"/>
    </xf>
    <xf numFmtId="0" fontId="50" fillId="0" borderId="0" xfId="0" applyFont="1"/>
    <xf numFmtId="0" fontId="51" fillId="0" borderId="0" xfId="0" applyFont="1" applyAlignment="1">
      <alignment horizontal="left" vertical="center"/>
    </xf>
    <xf numFmtId="165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7" fontId="52" fillId="0" borderId="0" xfId="0" applyNumberFormat="1" applyFont="1" applyAlignment="1">
      <alignment horizontal="center" vertical="center" wrapText="1"/>
    </xf>
    <xf numFmtId="0" fontId="44" fillId="8" borderId="11" xfId="0" applyFont="1" applyFill="1" applyBorder="1" applyAlignment="1">
      <alignment horizontal="center" vertical="center" wrapText="1"/>
    </xf>
    <xf numFmtId="7" fontId="52" fillId="0" borderId="0" xfId="0" applyNumberFormat="1" applyFont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 wrapText="1"/>
    </xf>
    <xf numFmtId="10" fontId="52" fillId="0" borderId="8" xfId="0" applyNumberFormat="1" applyFont="1" applyBorder="1" applyAlignment="1">
      <alignment horizontal="center" vertical="center"/>
    </xf>
    <xf numFmtId="14" fontId="8" fillId="6" borderId="0" xfId="0" applyNumberFormat="1" applyFont="1" applyFill="1" applyAlignment="1">
      <alignment horizontal="center"/>
    </xf>
    <xf numFmtId="0" fontId="20" fillId="0" borderId="0" xfId="0" applyFont="1"/>
    <xf numFmtId="44" fontId="54" fillId="0" borderId="0" xfId="0" applyNumberFormat="1" applyFont="1"/>
    <xf numFmtId="0" fontId="54" fillId="0" borderId="0" xfId="0" applyFont="1"/>
    <xf numFmtId="44" fontId="55" fillId="0" borderId="0" xfId="0" applyNumberFormat="1" applyFont="1"/>
    <xf numFmtId="0" fontId="55" fillId="0" borderId="0" xfId="0" applyFont="1"/>
    <xf numFmtId="0" fontId="28" fillId="0" borderId="0" xfId="0" applyFont="1"/>
    <xf numFmtId="44" fontId="56" fillId="0" borderId="0" xfId="0" applyNumberFormat="1" applyFont="1"/>
    <xf numFmtId="44" fontId="56" fillId="0" borderId="0" xfId="5" applyFont="1"/>
    <xf numFmtId="9" fontId="14" fillId="0" borderId="0" xfId="6" applyFont="1"/>
    <xf numFmtId="9" fontId="20" fillId="0" borderId="0" xfId="6" applyFont="1" applyFill="1"/>
    <xf numFmtId="0" fontId="26" fillId="13" borderId="17" xfId="3" applyBorder="1"/>
    <xf numFmtId="0" fontId="27" fillId="0" borderId="17" xfId="0" applyFont="1" applyBorder="1"/>
    <xf numFmtId="0" fontId="18" fillId="0" borderId="17" xfId="0" applyFont="1" applyBorder="1"/>
    <xf numFmtId="0" fontId="39" fillId="14" borderId="18" xfId="0" applyFont="1" applyFill="1" applyBorder="1" applyAlignment="1">
      <alignment horizontal="center" vertical="center" wrapText="1"/>
    </xf>
    <xf numFmtId="3" fontId="15" fillId="5" borderId="11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9" fontId="2" fillId="0" borderId="15" xfId="6" applyFont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0" fontId="34" fillId="0" borderId="5" xfId="0" applyFont="1" applyBorder="1"/>
    <xf numFmtId="164" fontId="5" fillId="2" borderId="3" xfId="0" applyNumberFormat="1" applyFont="1" applyFill="1" applyBorder="1" applyAlignment="1">
      <alignment horizontal="center" vertical="center" wrapText="1"/>
    </xf>
    <xf numFmtId="0" fontId="34" fillId="0" borderId="7" xfId="0" applyFont="1" applyBorder="1"/>
    <xf numFmtId="10" fontId="3" fillId="0" borderId="13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/>
    </xf>
    <xf numFmtId="164" fontId="24" fillId="12" borderId="2" xfId="1" applyNumberFormat="1" applyFont="1" applyFill="1" applyBorder="1" applyAlignment="1">
      <alignment horizontal="center" vertical="center" wrapText="1"/>
    </xf>
    <xf numFmtId="164" fontId="24" fillId="12" borderId="5" xfId="1" applyNumberFormat="1" applyFont="1" applyFill="1" applyBorder="1" applyAlignment="1">
      <alignment horizontal="center" vertical="center" wrapText="1"/>
    </xf>
    <xf numFmtId="10" fontId="3" fillId="0" borderId="11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34" fillId="0" borderId="4" xfId="0" applyFont="1" applyBorder="1"/>
    <xf numFmtId="164" fontId="5" fillId="2" borderId="5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0" fontId="1" fillId="0" borderId="0" xfId="0" applyFont="1"/>
    <xf numFmtId="0" fontId="34" fillId="0" borderId="8" xfId="0" applyFont="1" applyBorder="1"/>
    <xf numFmtId="9" fontId="3" fillId="0" borderId="0" xfId="0" applyNumberFormat="1" applyFont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4" fillId="0" borderId="2" xfId="0" applyFont="1" applyBorder="1"/>
    <xf numFmtId="166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2" fillId="10" borderId="0" xfId="1" applyAlignment="1">
      <alignment horizontal="center"/>
    </xf>
  </cellXfs>
  <cellStyles count="7">
    <cellStyle name="Bad" xfId="3" builtinId="27"/>
    <cellStyle name="Comma" xfId="4" builtinId="3"/>
    <cellStyle name="Currency" xfId="5" builtinId="4"/>
    <cellStyle name="Good" xfId="2" builtinId="26"/>
    <cellStyle name="Neutral" xfId="1" builtinId="28"/>
    <cellStyle name="Normal" xfId="0" builtinId="0"/>
    <cellStyle name="Percent" xfId="6" builtinId="5"/>
  </cellStyles>
  <dxfs count="0"/>
  <tableStyles count="0" defaultTableStyle="TableStyleMedium2" defaultPivotStyle="PivotStyleLight16"/>
  <colors>
    <mruColors>
      <color rgb="FF0737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gems365.sharepoint.com/sites/SageDrive/Shared%20Documents/Digital%20Reference/TEMPLATE%20DIGITAL%20COSTS/Master%20Digital%20Inputs%20-%20Sheets.xlsx" TargetMode="External"/><Relationship Id="rId1" Type="http://schemas.openxmlformats.org/officeDocument/2006/relationships/externalLinkPath" Target="/sites/SageDrive/Shared%20Documents/Digital%20Reference/TEMPLATE%20DIGITAL%20COSTS/Master%20Digital%20Inputs%20-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nding"/>
      <sheetName val="CPMs"/>
      <sheetName val="Inventory"/>
      <sheetName val="Match Rates"/>
      <sheetName val="Ad Partners"/>
      <sheetName val="Targeting Types"/>
      <sheetName val="Language"/>
    </sheetNames>
    <sheetDataSet>
      <sheetData sheetId="0"/>
      <sheetData sheetId="1">
        <row r="1">
          <cell r="A1" t="str">
            <v>SEARCH KEY DRAG</v>
          </cell>
          <cell r="F1" t="str">
            <v>CPM DRAG</v>
          </cell>
          <cell r="G1" t="str">
            <v>INPUT DRAG</v>
          </cell>
        </row>
      </sheetData>
      <sheetData sheetId="2">
        <row r="1">
          <cell r="A1" t="str">
            <v>INVENTORY PULL DOWN</v>
          </cell>
        </row>
      </sheetData>
      <sheetData sheetId="3"/>
      <sheetData sheetId="4">
        <row r="1">
          <cell r="A1" t="str">
            <v>AD PARTNER PULL DOWN</v>
          </cell>
        </row>
      </sheetData>
      <sheetData sheetId="5">
        <row r="1">
          <cell r="A1" t="str">
            <v>TARGETING PULL DOWN</v>
          </cell>
        </row>
      </sheetData>
      <sheetData sheetId="6">
        <row r="1">
          <cell r="A1" t="str">
            <v>LANGUAGE PULL DOWN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BB54-9819-411A-98B8-CD523CF5800A}">
  <sheetPr>
    <tabColor rgb="FFA2C4C9"/>
  </sheetPr>
  <dimension ref="A1:AL1125"/>
  <sheetViews>
    <sheetView tabSelected="1" topLeftCell="E66" zoomScale="85" zoomScaleNormal="85" workbookViewId="0">
      <selection activeCell="M75" sqref="M75"/>
    </sheetView>
  </sheetViews>
  <sheetFormatPr defaultColWidth="11.08984375" defaultRowHeight="15" customHeight="1"/>
  <cols>
    <col min="1" max="2" width="17.90625" style="108" customWidth="1"/>
    <col min="3" max="4" width="21.90625" style="108" customWidth="1"/>
    <col min="5" max="5" width="57.7265625" style="108" bestFit="1" customWidth="1"/>
    <col min="6" max="6" width="34.7265625" style="108" customWidth="1"/>
    <col min="7" max="7" width="23.7265625" style="108" customWidth="1"/>
    <col min="8" max="8" width="14.7265625" style="108" customWidth="1"/>
    <col min="9" max="10" width="14.7265625" style="108" hidden="1" customWidth="1"/>
    <col min="11" max="11" width="2.26953125" style="108" customWidth="1"/>
    <col min="12" max="18" width="18.90625" style="108" customWidth="1"/>
    <col min="19" max="19" width="23.7265625" style="108" bestFit="1" customWidth="1"/>
    <col min="20" max="20" width="22.6328125" style="108" bestFit="1" customWidth="1"/>
    <col min="21" max="23" width="18.90625" style="108" customWidth="1"/>
    <col min="24" max="24" width="2.26953125" style="108" customWidth="1"/>
    <col min="25" max="25" width="23.36328125" style="108" customWidth="1"/>
    <col min="26" max="26" width="2.26953125" style="108" customWidth="1"/>
    <col min="27" max="27" width="18.26953125" style="108" customWidth="1"/>
    <col min="28" max="28" width="19.7265625" style="108" customWidth="1"/>
    <col min="29" max="30" width="11" style="108" customWidth="1"/>
    <col min="31" max="31" width="24.26953125" style="108" customWidth="1"/>
    <col min="32" max="32" width="16" style="108" customWidth="1"/>
    <col min="33" max="33" width="12.36328125" style="108" customWidth="1"/>
    <col min="34" max="35" width="16" style="108" customWidth="1"/>
    <col min="36" max="38" width="11" style="108" customWidth="1"/>
    <col min="39" max="16384" width="11.08984375" style="108"/>
  </cols>
  <sheetData>
    <row r="1" spans="1:38" ht="15" customHeight="1">
      <c r="E1" s="8" t="s">
        <v>0</v>
      </c>
      <c r="F1" s="96" t="s">
        <v>744</v>
      </c>
      <c r="G1" s="109" t="s">
        <v>726</v>
      </c>
      <c r="H1" s="96" t="s">
        <v>743</v>
      </c>
    </row>
    <row r="2" spans="1:38" ht="15.75" customHeight="1">
      <c r="A2" s="110"/>
      <c r="B2" s="110"/>
      <c r="E2" s="8" t="s">
        <v>3</v>
      </c>
      <c r="F2" s="97">
        <v>46329</v>
      </c>
      <c r="G2" s="109" t="s">
        <v>725</v>
      </c>
      <c r="H2" s="96" t="s">
        <v>742</v>
      </c>
      <c r="I2" s="2"/>
      <c r="J2" s="2"/>
      <c r="K2" s="110"/>
      <c r="L2" s="111" cm="1">
        <f t="array" ref="L2">INDEX($2:$2, COLUMN()+1)+1</f>
        <v>12</v>
      </c>
      <c r="M2" s="112" cm="1">
        <f t="array" ref="M2">INDEX($2:$2, COLUMN()+1)+1</f>
        <v>11</v>
      </c>
      <c r="N2" s="112" cm="1">
        <f t="array" ref="N2">INDEX($2:$2, COLUMN()+1)+1</f>
        <v>10</v>
      </c>
      <c r="O2" s="112" cm="1">
        <f t="array" ref="O2">INDEX($2:$2, COLUMN()+1)+1</f>
        <v>9</v>
      </c>
      <c r="P2" s="112" cm="1">
        <f t="array" ref="P2">INDEX($2:$2, COLUMN()+1)+1</f>
        <v>8</v>
      </c>
      <c r="Q2" s="112" cm="1">
        <f t="array" ref="Q2">INDEX($2:$2, COLUMN()+1)+1</f>
        <v>7</v>
      </c>
      <c r="R2" s="112" cm="1">
        <f t="array" ref="R2">INDEX($2:$2, COLUMN()+1)+1</f>
        <v>6</v>
      </c>
      <c r="S2" s="112" cm="1">
        <f t="array" ref="S2">INDEX($2:$2, COLUMN()+1)+1</f>
        <v>5</v>
      </c>
      <c r="T2" s="112" cm="1">
        <f t="array" ref="T2">INDEX($2:$2, COLUMN()+1)+1</f>
        <v>4</v>
      </c>
      <c r="U2" s="112" cm="1">
        <f t="array" ref="U2">INDEX($2:$2, COLUMN()+1)+1</f>
        <v>3</v>
      </c>
      <c r="V2" s="112" cm="1">
        <f t="array" ref="V2">INDEX($2:$2, COLUMN()+1)+1</f>
        <v>2</v>
      </c>
      <c r="W2" s="112">
        <v>1</v>
      </c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</row>
    <row r="3" spans="1:38" ht="15.75" customHeight="1">
      <c r="A3" s="110"/>
      <c r="B3" s="110"/>
      <c r="E3" s="8" t="s">
        <v>1</v>
      </c>
      <c r="F3" s="113">
        <f>F2-83</f>
        <v>46246</v>
      </c>
      <c r="G3" s="8" t="s">
        <v>727</v>
      </c>
      <c r="H3" s="98">
        <v>0.15</v>
      </c>
      <c r="I3" s="114"/>
      <c r="J3" s="114"/>
      <c r="K3" s="110"/>
      <c r="L3" s="217">
        <f t="shared" ref="L3:V3" si="0">L4-6</f>
        <v>46245</v>
      </c>
      <c r="M3" s="116">
        <f t="shared" si="0"/>
        <v>46252</v>
      </c>
      <c r="N3" s="116">
        <f t="shared" si="0"/>
        <v>46259</v>
      </c>
      <c r="O3" s="116">
        <f t="shared" si="0"/>
        <v>46266</v>
      </c>
      <c r="P3" s="116">
        <f t="shared" si="0"/>
        <v>46273</v>
      </c>
      <c r="Q3" s="116">
        <f t="shared" si="0"/>
        <v>46280</v>
      </c>
      <c r="R3" s="116">
        <f t="shared" si="0"/>
        <v>46287</v>
      </c>
      <c r="S3" s="116">
        <f t="shared" si="0"/>
        <v>46294</v>
      </c>
      <c r="T3" s="116">
        <f t="shared" si="0"/>
        <v>46301</v>
      </c>
      <c r="U3" s="116">
        <f t="shared" si="0"/>
        <v>46308</v>
      </c>
      <c r="V3" s="116">
        <f t="shared" si="0"/>
        <v>46315</v>
      </c>
      <c r="W3" s="116">
        <f>IF(F1="YES",W4-7,W4-6)</f>
        <v>46322</v>
      </c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</row>
    <row r="4" spans="1:38" ht="15.75" customHeight="1">
      <c r="A4" s="110"/>
      <c r="B4" s="110"/>
      <c r="E4" s="109" t="s">
        <v>728</v>
      </c>
      <c r="F4" s="116">
        <f>IF(H2&lt;&gt;"CANDIDATE","N/A",
IF(H1="PRIMARY",F2-45,
IF(H1="GENERAL",F2-60,"N/A")))</f>
        <v>46284</v>
      </c>
      <c r="G4" s="8" t="s">
        <v>4</v>
      </c>
      <c r="H4" s="114" t="str">
        <f>DATEDIF(F3,F2,"D")+1 &amp; " D / " &amp; ROUND((DATEDIF(F3,F2,"D")/7),0) &amp; " W"</f>
        <v>84 D / 12 W</v>
      </c>
      <c r="I4" s="117"/>
      <c r="J4" s="117"/>
      <c r="K4" s="110"/>
      <c r="L4" s="115" cm="1">
        <f t="array" ref="L4">INDEX($3:$3, COLUMN()+1)-1</f>
        <v>46251</v>
      </c>
      <c r="M4" s="116" cm="1">
        <f t="array" ref="M4">INDEX($3:$3, COLUMN()+1)-1</f>
        <v>46258</v>
      </c>
      <c r="N4" s="116" cm="1">
        <f t="array" ref="N4">INDEX($3:$3, COLUMN()+1)-1</f>
        <v>46265</v>
      </c>
      <c r="O4" s="116" cm="1">
        <f t="array" ref="O4">INDEX($3:$3, COLUMN()+1)-1</f>
        <v>46272</v>
      </c>
      <c r="P4" s="116" cm="1">
        <f t="array" ref="P4">INDEX($3:$3, COLUMN()+1)-1</f>
        <v>46279</v>
      </c>
      <c r="Q4" s="116" cm="1">
        <f t="array" ref="Q4">INDEX($3:$3, COLUMN()+1)-1</f>
        <v>46286</v>
      </c>
      <c r="R4" s="116" cm="1">
        <f t="array" ref="R4">INDEX($3:$3, COLUMN()+1)-1</f>
        <v>46293</v>
      </c>
      <c r="S4" s="116" cm="1">
        <f t="array" ref="S4">INDEX($3:$3, COLUMN()+1)-1</f>
        <v>46300</v>
      </c>
      <c r="T4" s="116" cm="1">
        <f t="array" ref="T4">INDEX($3:$3, COLUMN()+1)-1</f>
        <v>46307</v>
      </c>
      <c r="U4" s="116" cm="1">
        <f t="array" ref="U4">INDEX($3:$3, COLUMN()+1)-1</f>
        <v>46314</v>
      </c>
      <c r="V4" s="116" cm="1">
        <f t="array" ref="V4">INDEX($3:$3, COLUMN()+1)-1</f>
        <v>46321</v>
      </c>
      <c r="W4" s="116">
        <f>F2</f>
        <v>46329</v>
      </c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</row>
    <row r="5" spans="1:38" ht="15.75" customHeight="1">
      <c r="A5" s="110"/>
      <c r="B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</row>
    <row r="6" spans="1:38" ht="33.75" customHeight="1" thickBot="1">
      <c r="A6" s="209" t="s">
        <v>741</v>
      </c>
      <c r="B6" s="118"/>
      <c r="C6" s="118"/>
      <c r="D6" s="119"/>
      <c r="E6" s="119"/>
      <c r="F6" s="4"/>
      <c r="G6" s="4"/>
      <c r="H6" s="4"/>
      <c r="I6" s="4"/>
      <c r="J6" s="4"/>
      <c r="K6" s="4"/>
      <c r="L6" s="120"/>
      <c r="M6" s="4"/>
      <c r="N6" s="4"/>
      <c r="O6" s="120"/>
      <c r="P6" s="120"/>
      <c r="Q6" s="120"/>
      <c r="R6" s="120"/>
      <c r="S6" s="120"/>
      <c r="T6" s="4"/>
      <c r="U6" s="120"/>
      <c r="V6" s="120"/>
      <c r="W6" s="4"/>
      <c r="X6" s="4"/>
      <c r="Y6" s="120"/>
      <c r="Z6" s="4"/>
      <c r="AA6" s="39"/>
      <c r="AB6" s="264" t="s">
        <v>5</v>
      </c>
      <c r="AC6" s="121"/>
      <c r="AD6" s="3"/>
      <c r="AE6" s="3"/>
      <c r="AF6" s="1"/>
      <c r="AG6" s="1"/>
      <c r="AH6" s="1"/>
      <c r="AI6" s="1"/>
      <c r="AJ6" s="1"/>
      <c r="AK6" s="1"/>
      <c r="AL6" s="1"/>
    </row>
    <row r="7" spans="1:38" ht="35.4" customHeight="1" thickBot="1">
      <c r="A7" s="209">
        <v>2026</v>
      </c>
      <c r="B7" s="118"/>
      <c r="C7" s="118"/>
      <c r="D7" s="122"/>
      <c r="E7" s="12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231" t="s">
        <v>776</v>
      </c>
      <c r="T7" s="231" t="s">
        <v>775</v>
      </c>
      <c r="U7" s="4"/>
      <c r="V7" s="4"/>
      <c r="W7" s="4"/>
      <c r="X7" s="4"/>
      <c r="Y7" s="120"/>
      <c r="Z7" s="4"/>
      <c r="AA7" s="39"/>
      <c r="AB7" s="257"/>
      <c r="AC7" s="121"/>
      <c r="AD7" s="3"/>
      <c r="AE7" s="3"/>
      <c r="AF7" s="1"/>
      <c r="AG7" s="1"/>
      <c r="AH7" s="1"/>
      <c r="AI7" s="1"/>
      <c r="AJ7" s="1"/>
      <c r="AK7" s="1"/>
      <c r="AL7" s="1"/>
    </row>
    <row r="8" spans="1:38" ht="15.75" customHeight="1" thickTop="1" thickBot="1">
      <c r="A8" s="251" t="s">
        <v>6</v>
      </c>
      <c r="B8" s="240" t="s">
        <v>7</v>
      </c>
      <c r="C8" s="240" t="s">
        <v>8</v>
      </c>
      <c r="D8" s="240" t="s">
        <v>9</v>
      </c>
      <c r="E8" s="240" t="s">
        <v>10</v>
      </c>
      <c r="F8" s="240" t="s">
        <v>745</v>
      </c>
      <c r="G8" s="261"/>
      <c r="H8" s="240"/>
      <c r="I8" s="246"/>
      <c r="J8" s="246" t="s">
        <v>435</v>
      </c>
      <c r="K8" s="240"/>
      <c r="L8" s="6" t="str">
        <f t="shared" ref="L8:W8" si="1">CONCATENATE("Week ",L$2)</f>
        <v>Week 12</v>
      </c>
      <c r="M8" s="6" t="str">
        <f t="shared" si="1"/>
        <v>Week 11</v>
      </c>
      <c r="N8" s="6" t="str">
        <f t="shared" si="1"/>
        <v>Week 10</v>
      </c>
      <c r="O8" s="6" t="str">
        <f t="shared" si="1"/>
        <v>Week 9</v>
      </c>
      <c r="P8" s="6" t="str">
        <f t="shared" si="1"/>
        <v>Week 8</v>
      </c>
      <c r="Q8" s="6" t="str">
        <f t="shared" si="1"/>
        <v>Week 7</v>
      </c>
      <c r="R8" s="6" t="str">
        <f t="shared" si="1"/>
        <v>Week 6</v>
      </c>
      <c r="S8" s="6" t="str">
        <f t="shared" si="1"/>
        <v>Week 5</v>
      </c>
      <c r="T8" s="6" t="str">
        <f t="shared" si="1"/>
        <v>Week 4</v>
      </c>
      <c r="U8" s="6" t="str">
        <f t="shared" si="1"/>
        <v>Week 3</v>
      </c>
      <c r="V8" s="6" t="str">
        <f t="shared" si="1"/>
        <v>Week 2</v>
      </c>
      <c r="W8" s="6" t="str">
        <f t="shared" si="1"/>
        <v>Week 1</v>
      </c>
      <c r="X8" s="6"/>
      <c r="Y8" s="240" t="s">
        <v>11</v>
      </c>
      <c r="Z8" s="6"/>
      <c r="AA8" s="240" t="s">
        <v>12</v>
      </c>
      <c r="AB8" s="242" t="s">
        <v>13</v>
      </c>
      <c r="AC8" s="123"/>
      <c r="AD8" s="7"/>
      <c r="AE8" s="7"/>
      <c r="AF8" s="8"/>
      <c r="AG8" s="8"/>
      <c r="AH8" s="8"/>
      <c r="AI8" s="8"/>
      <c r="AJ8" s="8"/>
      <c r="AK8" s="8"/>
      <c r="AL8" s="8"/>
    </row>
    <row r="9" spans="1:38" ht="15.75" customHeight="1" thickTop="1" thickBot="1">
      <c r="A9" s="252"/>
      <c r="B9" s="241"/>
      <c r="C9" s="241"/>
      <c r="D9" s="241"/>
      <c r="E9" s="241"/>
      <c r="F9" s="241"/>
      <c r="G9" s="241"/>
      <c r="H9" s="241"/>
      <c r="I9" s="247"/>
      <c r="J9" s="247"/>
      <c r="K9" s="241"/>
      <c r="L9" s="10" t="str">
        <f t="shared" ref="L9:W9" si="2">TEXT(L$3, "mmm d") &amp; " - " &amp; TEXT(L$4, "mmm d")</f>
        <v>Aug 11 - Aug 17</v>
      </c>
      <c r="M9" s="10" t="str">
        <f t="shared" si="2"/>
        <v>Aug 18 - Aug 24</v>
      </c>
      <c r="N9" s="10" t="str">
        <f t="shared" si="2"/>
        <v>Aug 25 - Aug 31</v>
      </c>
      <c r="O9" s="10" t="str">
        <f t="shared" si="2"/>
        <v>Sep 1 - Sep 7</v>
      </c>
      <c r="P9" s="10" t="str">
        <f t="shared" si="2"/>
        <v>Sep 8 - Sep 14</v>
      </c>
      <c r="Q9" s="10" t="str">
        <f t="shared" si="2"/>
        <v>Sep 15 - Sep 21</v>
      </c>
      <c r="R9" s="10" t="str">
        <f t="shared" si="2"/>
        <v>Sep 22 - Sep 28</v>
      </c>
      <c r="S9" s="10" t="str">
        <f t="shared" si="2"/>
        <v>Sep 29 - Oct 5</v>
      </c>
      <c r="T9" s="10" t="str">
        <f t="shared" si="2"/>
        <v>Oct 6 - Oct 12</v>
      </c>
      <c r="U9" s="10" t="str">
        <f t="shared" si="2"/>
        <v>Oct 13 - Oct 19</v>
      </c>
      <c r="V9" s="10" t="str">
        <f t="shared" si="2"/>
        <v>Oct 20 - Oct 26</v>
      </c>
      <c r="W9" s="10" t="str">
        <f t="shared" si="2"/>
        <v>Oct 27 - Nov 3</v>
      </c>
      <c r="X9" s="9"/>
      <c r="Y9" s="241"/>
      <c r="Z9" s="9"/>
      <c r="AA9" s="241"/>
      <c r="AB9" s="243"/>
      <c r="AC9" s="11"/>
      <c r="AD9" s="7"/>
      <c r="AE9" s="7"/>
      <c r="AF9" s="8"/>
      <c r="AG9" s="8"/>
      <c r="AH9" s="8"/>
      <c r="AI9" s="8"/>
      <c r="AJ9" s="8"/>
      <c r="AK9" s="8"/>
      <c r="AL9" s="8"/>
    </row>
    <row r="10" spans="1:38" ht="15.75" customHeight="1" thickTop="1">
      <c r="A10" s="12"/>
      <c r="B10" s="12"/>
      <c r="C10" s="12"/>
      <c r="D10" s="12"/>
      <c r="E10" s="13"/>
      <c r="F10" s="14"/>
      <c r="G10" s="14"/>
      <c r="H10" s="14" t="s">
        <v>14</v>
      </c>
      <c r="I10" s="234"/>
      <c r="J10" s="254" t="s">
        <v>437</v>
      </c>
      <c r="K10" s="92"/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92"/>
      <c r="Y10" s="15">
        <f t="shared" ref="Y10:Y21" si="3">SUM(L10:W10)</f>
        <v>0</v>
      </c>
      <c r="Z10" s="92"/>
      <c r="AA10" s="256">
        <f>IFERROR($Y11/$Y$55, 0)</f>
        <v>0</v>
      </c>
      <c r="AB10" s="239">
        <f>IFERROR($Y11/$Y$398, 0)</f>
        <v>0</v>
      </c>
      <c r="AC10" s="16"/>
      <c r="AD10" s="3"/>
      <c r="AE10" s="3"/>
      <c r="AF10" s="1"/>
      <c r="AG10" s="1"/>
      <c r="AH10" s="1"/>
      <c r="AI10" s="1"/>
      <c r="AJ10" s="1"/>
      <c r="AK10" s="1"/>
      <c r="AL10" s="1"/>
    </row>
    <row r="11" spans="1:38" ht="15.75" customHeight="1">
      <c r="A11" s="17">
        <v>100</v>
      </c>
      <c r="B11" s="17">
        <v>200</v>
      </c>
      <c r="C11" s="17">
        <v>300</v>
      </c>
      <c r="D11" s="17">
        <v>400</v>
      </c>
      <c r="E11" s="14" t="s">
        <v>16</v>
      </c>
      <c r="F11" s="262"/>
      <c r="G11" s="257"/>
      <c r="H11" s="14" t="s">
        <v>15</v>
      </c>
      <c r="I11" s="233"/>
      <c r="J11" s="237"/>
      <c r="K11" s="92"/>
      <c r="L11" s="19">
        <f>$A11*L10</f>
        <v>0</v>
      </c>
      <c r="M11" s="19">
        <f t="shared" ref="M11:N11" si="4">$B11*M10</f>
        <v>0</v>
      </c>
      <c r="N11" s="19">
        <f t="shared" si="4"/>
        <v>0</v>
      </c>
      <c r="O11" s="19">
        <f>$B11*O10</f>
        <v>0</v>
      </c>
      <c r="P11" s="19">
        <f>$B11*P10</f>
        <v>0</v>
      </c>
      <c r="Q11" s="19">
        <f>$B11*Q10</f>
        <v>0</v>
      </c>
      <c r="R11" s="19">
        <f>$B11*R10</f>
        <v>0</v>
      </c>
      <c r="S11" s="19">
        <f t="shared" ref="S11:U11" si="5">$C11*S10</f>
        <v>0</v>
      </c>
      <c r="T11" s="19">
        <f>$C11*T10</f>
        <v>0</v>
      </c>
      <c r="U11" s="19">
        <f t="shared" si="5"/>
        <v>0</v>
      </c>
      <c r="V11" s="19">
        <f t="shared" ref="V11:W11" si="6">$D11*V10</f>
        <v>0</v>
      </c>
      <c r="W11" s="19">
        <f t="shared" si="6"/>
        <v>0</v>
      </c>
      <c r="X11" s="92"/>
      <c r="Y11" s="20">
        <f t="shared" si="3"/>
        <v>0</v>
      </c>
      <c r="Z11" s="92"/>
      <c r="AA11" s="257"/>
      <c r="AB11" s="258"/>
      <c r="AC11" s="21"/>
      <c r="AD11" s="3"/>
      <c r="AE11" s="3"/>
      <c r="AF11" s="1"/>
      <c r="AG11" s="1"/>
      <c r="AH11" s="1"/>
      <c r="AI11" s="1"/>
      <c r="AJ11" s="1"/>
      <c r="AK11" s="1"/>
      <c r="AL11" s="1"/>
    </row>
    <row r="12" spans="1:38" ht="15.75" customHeight="1">
      <c r="A12" s="17"/>
      <c r="B12" s="17"/>
      <c r="C12" s="17"/>
      <c r="D12" s="17"/>
      <c r="E12" s="13"/>
      <c r="F12" s="14"/>
      <c r="G12" s="14"/>
      <c r="H12" s="14" t="s">
        <v>14</v>
      </c>
      <c r="I12" s="233"/>
      <c r="J12" s="237" t="s">
        <v>437</v>
      </c>
      <c r="K12" s="92"/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92"/>
      <c r="Y12" s="15">
        <f t="shared" si="3"/>
        <v>0</v>
      </c>
      <c r="Z12" s="92"/>
      <c r="AA12" s="256">
        <f>IFERROR($Y13/$Y$55, 0)</f>
        <v>0</v>
      </c>
      <c r="AB12" s="239">
        <f>IFERROR($Y13/$Y$398, 0)</f>
        <v>0</v>
      </c>
      <c r="AC12" s="16"/>
      <c r="AD12" s="3"/>
      <c r="AE12" s="3"/>
      <c r="AF12" s="1"/>
      <c r="AG12" s="1"/>
      <c r="AH12" s="1"/>
      <c r="AI12" s="1"/>
      <c r="AJ12" s="1"/>
      <c r="AK12" s="1"/>
      <c r="AL12" s="1"/>
    </row>
    <row r="13" spans="1:38" ht="15.75" customHeight="1">
      <c r="A13" s="17">
        <v>100</v>
      </c>
      <c r="B13" s="17">
        <v>200</v>
      </c>
      <c r="C13" s="17">
        <v>300</v>
      </c>
      <c r="D13" s="17">
        <v>400</v>
      </c>
      <c r="E13" s="14" t="s">
        <v>17</v>
      </c>
      <c r="F13" s="262"/>
      <c r="G13" s="262"/>
      <c r="H13" s="14" t="s">
        <v>15</v>
      </c>
      <c r="I13" s="233"/>
      <c r="J13" s="237"/>
      <c r="K13" s="92"/>
      <c r="L13" s="19">
        <f t="shared" ref="L13" si="7">$A13*L12</f>
        <v>0</v>
      </c>
      <c r="M13" s="19">
        <f t="shared" ref="M13:R13" si="8">$B13*M12</f>
        <v>0</v>
      </c>
      <c r="N13" s="19">
        <f t="shared" si="8"/>
        <v>0</v>
      </c>
      <c r="O13" s="19">
        <f t="shared" ref="O13:P13" si="9">$B13*O12</f>
        <v>0</v>
      </c>
      <c r="P13" s="19">
        <f t="shared" si="9"/>
        <v>0</v>
      </c>
      <c r="Q13" s="19">
        <f t="shared" ref="Q13" si="10">$B13*Q12</f>
        <v>0</v>
      </c>
      <c r="R13" s="19">
        <f t="shared" si="8"/>
        <v>0</v>
      </c>
      <c r="S13" s="19">
        <f t="shared" ref="S13:U13" si="11">$C13*S12</f>
        <v>0</v>
      </c>
      <c r="T13" s="19">
        <f t="shared" si="11"/>
        <v>0</v>
      </c>
      <c r="U13" s="19">
        <f t="shared" si="11"/>
        <v>0</v>
      </c>
      <c r="V13" s="19">
        <f t="shared" ref="V13:W13" si="12">$D13*V12</f>
        <v>0</v>
      </c>
      <c r="W13" s="19">
        <f t="shared" si="12"/>
        <v>0</v>
      </c>
      <c r="X13" s="92"/>
      <c r="Y13" s="20">
        <f t="shared" si="3"/>
        <v>0</v>
      </c>
      <c r="Z13" s="92"/>
      <c r="AA13" s="256"/>
      <c r="AB13" s="239"/>
      <c r="AC13" s="21"/>
      <c r="AD13" s="3"/>
      <c r="AE13" s="3"/>
      <c r="AF13" s="1"/>
      <c r="AG13" s="1"/>
      <c r="AH13" s="1"/>
      <c r="AI13" s="1"/>
      <c r="AJ13" s="1"/>
      <c r="AK13" s="1"/>
      <c r="AL13" s="1"/>
    </row>
    <row r="14" spans="1:38" ht="15.75" customHeight="1">
      <c r="A14" s="17"/>
      <c r="B14" s="17"/>
      <c r="C14" s="17"/>
      <c r="D14" s="17"/>
      <c r="E14" s="13"/>
      <c r="F14" s="14"/>
      <c r="G14" s="14"/>
      <c r="H14" s="14" t="s">
        <v>14</v>
      </c>
      <c r="I14" s="233"/>
      <c r="J14" s="237" t="s">
        <v>437</v>
      </c>
      <c r="K14" s="92"/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92"/>
      <c r="Y14" s="15">
        <f t="shared" si="3"/>
        <v>0</v>
      </c>
      <c r="Z14" s="92"/>
      <c r="AA14" s="256">
        <f>IFERROR($Y15/$Y$55, 0)</f>
        <v>0</v>
      </c>
      <c r="AB14" s="239">
        <f>IFERROR($Y15/$Y$398, 0)</f>
        <v>0</v>
      </c>
      <c r="AC14" s="16"/>
      <c r="AD14" s="3"/>
      <c r="AE14" s="3"/>
      <c r="AF14" s="1"/>
      <c r="AG14" s="1"/>
      <c r="AH14" s="1"/>
      <c r="AI14" s="1"/>
      <c r="AJ14" s="1"/>
      <c r="AK14" s="1"/>
      <c r="AL14" s="1"/>
    </row>
    <row r="15" spans="1:38" ht="15.75" customHeight="1">
      <c r="A15" s="17">
        <v>100</v>
      </c>
      <c r="B15" s="17">
        <v>200</v>
      </c>
      <c r="C15" s="17">
        <v>300</v>
      </c>
      <c r="D15" s="17">
        <v>400</v>
      </c>
      <c r="E15" s="14" t="s">
        <v>18</v>
      </c>
      <c r="F15" s="262"/>
      <c r="G15" s="262"/>
      <c r="H15" s="14" t="s">
        <v>15</v>
      </c>
      <c r="I15" s="233"/>
      <c r="J15" s="237"/>
      <c r="K15" s="92"/>
      <c r="L15" s="19">
        <f t="shared" ref="L15" si="13">$A15*L14</f>
        <v>0</v>
      </c>
      <c r="M15" s="19">
        <f t="shared" ref="M15:R15" si="14">$B15*M14</f>
        <v>0</v>
      </c>
      <c r="N15" s="19">
        <f t="shared" si="14"/>
        <v>0</v>
      </c>
      <c r="O15" s="19">
        <f t="shared" ref="O15:P15" si="15">$B15*O14</f>
        <v>0</v>
      </c>
      <c r="P15" s="19">
        <f t="shared" si="15"/>
        <v>0</v>
      </c>
      <c r="Q15" s="19">
        <f t="shared" ref="Q15" si="16">$B15*Q14</f>
        <v>0</v>
      </c>
      <c r="R15" s="19">
        <f t="shared" si="14"/>
        <v>0</v>
      </c>
      <c r="S15" s="19">
        <f t="shared" ref="S15:U15" si="17">$C15*S14</f>
        <v>0</v>
      </c>
      <c r="T15" s="19">
        <f t="shared" si="17"/>
        <v>0</v>
      </c>
      <c r="U15" s="19">
        <f t="shared" si="17"/>
        <v>0</v>
      </c>
      <c r="V15" s="19">
        <f t="shared" ref="V15:W15" si="18">$D15*V14</f>
        <v>0</v>
      </c>
      <c r="W15" s="19">
        <f t="shared" si="18"/>
        <v>0</v>
      </c>
      <c r="X15" s="92"/>
      <c r="Y15" s="20">
        <f t="shared" si="3"/>
        <v>0</v>
      </c>
      <c r="Z15" s="92"/>
      <c r="AA15" s="256"/>
      <c r="AB15" s="239"/>
      <c r="AC15" s="21"/>
      <c r="AD15" s="3"/>
      <c r="AE15" s="3"/>
      <c r="AF15" s="1"/>
      <c r="AG15" s="1"/>
      <c r="AH15" s="1"/>
      <c r="AI15" s="1"/>
      <c r="AJ15" s="1"/>
      <c r="AK15" s="1"/>
      <c r="AL15" s="1"/>
    </row>
    <row r="16" spans="1:38" ht="15.75" customHeight="1">
      <c r="A16" s="17"/>
      <c r="B16" s="17"/>
      <c r="C16" s="17"/>
      <c r="D16" s="17"/>
      <c r="E16" s="13"/>
      <c r="F16" s="14"/>
      <c r="G16" s="14"/>
      <c r="H16" s="14" t="s">
        <v>14</v>
      </c>
      <c r="I16" s="233"/>
      <c r="J16" s="237" t="s">
        <v>437</v>
      </c>
      <c r="K16" s="92"/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92"/>
      <c r="Y16" s="15">
        <f t="shared" si="3"/>
        <v>0</v>
      </c>
      <c r="Z16" s="92"/>
      <c r="AA16" s="256">
        <f>IFERROR($Y17/$Y$55, 0)</f>
        <v>0</v>
      </c>
      <c r="AB16" s="239">
        <f>IFERROR($Y17/$Y$398, 0)</f>
        <v>0</v>
      </c>
      <c r="AC16" s="16"/>
      <c r="AD16" s="3"/>
      <c r="AE16" s="3"/>
      <c r="AF16" s="1"/>
      <c r="AG16" s="1"/>
      <c r="AH16" s="1"/>
      <c r="AI16" s="1"/>
      <c r="AJ16" s="1"/>
      <c r="AK16" s="1"/>
      <c r="AL16" s="1"/>
    </row>
    <row r="17" spans="1:38" ht="15.75" customHeight="1">
      <c r="A17" s="17">
        <v>100</v>
      </c>
      <c r="B17" s="17">
        <v>200</v>
      </c>
      <c r="C17" s="17">
        <v>300</v>
      </c>
      <c r="D17" s="17">
        <v>400</v>
      </c>
      <c r="E17" s="14" t="s">
        <v>19</v>
      </c>
      <c r="F17" s="262"/>
      <c r="G17" s="262"/>
      <c r="H17" s="14" t="s">
        <v>15</v>
      </c>
      <c r="I17" s="233"/>
      <c r="J17" s="237"/>
      <c r="K17" s="92"/>
      <c r="L17" s="19">
        <f t="shared" ref="L17" si="19">$A17*L16</f>
        <v>0</v>
      </c>
      <c r="M17" s="19">
        <f t="shared" ref="M17:R17" si="20">$B17*M16</f>
        <v>0</v>
      </c>
      <c r="N17" s="19">
        <f t="shared" si="20"/>
        <v>0</v>
      </c>
      <c r="O17" s="19">
        <f t="shared" ref="O17:P17" si="21">$B17*O16</f>
        <v>0</v>
      </c>
      <c r="P17" s="19">
        <f t="shared" si="21"/>
        <v>0</v>
      </c>
      <c r="Q17" s="19">
        <f t="shared" ref="Q17" si="22">$B17*Q16</f>
        <v>0</v>
      </c>
      <c r="R17" s="19">
        <f t="shared" si="20"/>
        <v>0</v>
      </c>
      <c r="S17" s="19">
        <f t="shared" ref="S17:U17" si="23">$C17*S16</f>
        <v>0</v>
      </c>
      <c r="T17" s="19">
        <f t="shared" si="23"/>
        <v>0</v>
      </c>
      <c r="U17" s="19">
        <f t="shared" si="23"/>
        <v>0</v>
      </c>
      <c r="V17" s="19">
        <f t="shared" ref="V17:W17" si="24">$D17*V16</f>
        <v>0</v>
      </c>
      <c r="W17" s="19">
        <f t="shared" si="24"/>
        <v>0</v>
      </c>
      <c r="X17" s="92"/>
      <c r="Y17" s="20">
        <f t="shared" si="3"/>
        <v>0</v>
      </c>
      <c r="Z17" s="92"/>
      <c r="AA17" s="256"/>
      <c r="AB17" s="239"/>
      <c r="AC17" s="21"/>
      <c r="AD17" s="3"/>
      <c r="AE17" s="3"/>
      <c r="AF17" s="1"/>
      <c r="AG17" s="1"/>
      <c r="AH17" s="1"/>
      <c r="AI17" s="1"/>
      <c r="AJ17" s="1"/>
      <c r="AK17" s="1"/>
      <c r="AL17" s="1"/>
    </row>
    <row r="18" spans="1:38" ht="15.75" customHeight="1">
      <c r="A18" s="17"/>
      <c r="B18" s="17"/>
      <c r="C18" s="17"/>
      <c r="D18" s="17"/>
      <c r="E18" s="13"/>
      <c r="F18" s="14"/>
      <c r="G18" s="14"/>
      <c r="H18" s="14" t="s">
        <v>14</v>
      </c>
      <c r="I18" s="233"/>
      <c r="J18" s="237" t="s">
        <v>437</v>
      </c>
      <c r="K18" s="92"/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92"/>
      <c r="Y18" s="15">
        <f t="shared" si="3"/>
        <v>0</v>
      </c>
      <c r="Z18" s="92"/>
      <c r="AA18" s="256">
        <f>IFERROR($Y19/$Y$55, 0)</f>
        <v>0</v>
      </c>
      <c r="AB18" s="239">
        <f>IFERROR($Y19/$Y$398, 0)</f>
        <v>0</v>
      </c>
      <c r="AC18" s="16"/>
      <c r="AD18" s="3"/>
      <c r="AE18" s="3"/>
      <c r="AF18" s="1"/>
      <c r="AG18" s="1"/>
      <c r="AH18" s="1"/>
      <c r="AI18" s="1"/>
      <c r="AJ18" s="1"/>
      <c r="AK18" s="1"/>
      <c r="AL18" s="1"/>
    </row>
    <row r="19" spans="1:38" ht="15.75" customHeight="1">
      <c r="A19" s="17">
        <v>100</v>
      </c>
      <c r="B19" s="17">
        <v>200</v>
      </c>
      <c r="C19" s="17">
        <v>300</v>
      </c>
      <c r="D19" s="17">
        <v>400</v>
      </c>
      <c r="E19" s="14" t="s">
        <v>20</v>
      </c>
      <c r="F19" s="1"/>
      <c r="G19" s="1"/>
      <c r="H19" s="14" t="s">
        <v>15</v>
      </c>
      <c r="I19" s="233"/>
      <c r="J19" s="237"/>
      <c r="K19" s="92"/>
      <c r="L19" s="19">
        <f t="shared" ref="L19" si="25">$A19*L18</f>
        <v>0</v>
      </c>
      <c r="M19" s="19">
        <f t="shared" ref="M19:R19" si="26">$B19*M18</f>
        <v>0</v>
      </c>
      <c r="N19" s="19">
        <f t="shared" si="26"/>
        <v>0</v>
      </c>
      <c r="O19" s="19">
        <f t="shared" ref="O19:P19" si="27">$B19*O18</f>
        <v>0</v>
      </c>
      <c r="P19" s="19">
        <f t="shared" si="27"/>
        <v>0</v>
      </c>
      <c r="Q19" s="19">
        <f t="shared" ref="Q19" si="28">$B19*Q18</f>
        <v>0</v>
      </c>
      <c r="R19" s="19">
        <f t="shared" si="26"/>
        <v>0</v>
      </c>
      <c r="S19" s="19">
        <f t="shared" ref="S19:U19" si="29">$C19*S18</f>
        <v>0</v>
      </c>
      <c r="T19" s="19">
        <f t="shared" si="29"/>
        <v>0</v>
      </c>
      <c r="U19" s="19">
        <f t="shared" si="29"/>
        <v>0</v>
      </c>
      <c r="V19" s="19">
        <f t="shared" ref="V19:W19" si="30">$D19*V18</f>
        <v>0</v>
      </c>
      <c r="W19" s="19">
        <f t="shared" si="30"/>
        <v>0</v>
      </c>
      <c r="X19" s="92"/>
      <c r="Y19" s="20">
        <f t="shared" si="3"/>
        <v>0</v>
      </c>
      <c r="Z19" s="92"/>
      <c r="AA19" s="256"/>
      <c r="AB19" s="239"/>
      <c r="AC19" s="21"/>
      <c r="AD19" s="3"/>
      <c r="AE19" s="3"/>
      <c r="AF19" s="1"/>
      <c r="AG19" s="1"/>
      <c r="AH19" s="1"/>
      <c r="AI19" s="1"/>
      <c r="AJ19" s="1"/>
      <c r="AK19" s="1"/>
      <c r="AL19" s="1"/>
    </row>
    <row r="20" spans="1:38" ht="15.75" customHeight="1">
      <c r="A20" s="17"/>
      <c r="B20" s="17"/>
      <c r="C20" s="17"/>
      <c r="D20" s="17"/>
      <c r="E20" s="13"/>
      <c r="F20" s="262"/>
      <c r="G20" s="262"/>
      <c r="H20" s="14" t="s">
        <v>14</v>
      </c>
      <c r="I20" s="233"/>
      <c r="J20" s="237" t="s">
        <v>437</v>
      </c>
      <c r="K20" s="92"/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92"/>
      <c r="Y20" s="15">
        <f t="shared" si="3"/>
        <v>0</v>
      </c>
      <c r="Z20" s="92"/>
      <c r="AA20" s="256">
        <f>IFERROR($Y21/$Y$55, 0)</f>
        <v>0</v>
      </c>
      <c r="AB20" s="239">
        <f>IFERROR($Y21/$Y$398, 0)</f>
        <v>0</v>
      </c>
      <c r="AC20" s="16"/>
      <c r="AD20" s="3"/>
      <c r="AE20" s="3"/>
      <c r="AF20" s="1"/>
      <c r="AG20" s="1"/>
      <c r="AH20" s="1"/>
      <c r="AI20" s="1"/>
      <c r="AJ20" s="1"/>
      <c r="AK20" s="1"/>
      <c r="AL20" s="1"/>
    </row>
    <row r="21" spans="1:38" ht="15.75" customHeight="1">
      <c r="A21" s="17">
        <v>100</v>
      </c>
      <c r="B21" s="17">
        <v>200</v>
      </c>
      <c r="C21" s="17">
        <v>300</v>
      </c>
      <c r="D21" s="17">
        <v>400</v>
      </c>
      <c r="E21" s="14" t="s">
        <v>21</v>
      </c>
      <c r="F21" s="259"/>
      <c r="G21" s="259"/>
      <c r="H21" s="14" t="s">
        <v>15</v>
      </c>
      <c r="I21" s="233"/>
      <c r="J21" s="237"/>
      <c r="K21" s="92"/>
      <c r="L21" s="19">
        <f t="shared" ref="L21" si="31">$A21*L20</f>
        <v>0</v>
      </c>
      <c r="M21" s="19">
        <f t="shared" ref="M21:R21" si="32">$B21*M20</f>
        <v>0</v>
      </c>
      <c r="N21" s="19">
        <f t="shared" si="32"/>
        <v>0</v>
      </c>
      <c r="O21" s="19">
        <f t="shared" ref="O21:P21" si="33">$B21*O20</f>
        <v>0</v>
      </c>
      <c r="P21" s="19">
        <f t="shared" si="33"/>
        <v>0</v>
      </c>
      <c r="Q21" s="19">
        <f t="shared" ref="Q21" si="34">$B21*Q20</f>
        <v>0</v>
      </c>
      <c r="R21" s="19">
        <f t="shared" si="32"/>
        <v>0</v>
      </c>
      <c r="S21" s="19">
        <f t="shared" ref="S21:U21" si="35">$C21*S20</f>
        <v>0</v>
      </c>
      <c r="T21" s="19">
        <f t="shared" si="35"/>
        <v>0</v>
      </c>
      <c r="U21" s="19">
        <f t="shared" si="35"/>
        <v>0</v>
      </c>
      <c r="V21" s="19">
        <f t="shared" ref="V21:W21" si="36">$D21*V20</f>
        <v>0</v>
      </c>
      <c r="W21" s="19">
        <f t="shared" si="36"/>
        <v>0</v>
      </c>
      <c r="X21" s="92"/>
      <c r="Y21" s="20">
        <f t="shared" si="3"/>
        <v>0</v>
      </c>
      <c r="Z21" s="92"/>
      <c r="AA21" s="256"/>
      <c r="AB21" s="239"/>
      <c r="AC21" s="21"/>
      <c r="AD21" s="3"/>
      <c r="AE21" s="3"/>
      <c r="AF21" s="1"/>
      <c r="AG21" s="1"/>
      <c r="AH21" s="1"/>
      <c r="AI21" s="1"/>
      <c r="AJ21" s="1"/>
      <c r="AK21" s="1"/>
      <c r="AL21" s="1"/>
    </row>
    <row r="22" spans="1:38" ht="15.75" customHeight="1">
      <c r="A22" s="17"/>
      <c r="B22" s="17"/>
      <c r="C22" s="17"/>
      <c r="D22" s="17"/>
      <c r="E22" s="14"/>
      <c r="F22" s="22"/>
      <c r="G22" s="22"/>
      <c r="H22" s="14"/>
      <c r="I22" s="126"/>
      <c r="J22" s="126"/>
      <c r="K22" s="92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92"/>
      <c r="Y22" s="20"/>
      <c r="Z22" s="92"/>
      <c r="AA22" s="23"/>
      <c r="AB22" s="24"/>
      <c r="AC22" s="21"/>
      <c r="AD22" s="3"/>
      <c r="AE22" s="3"/>
      <c r="AF22" s="1"/>
      <c r="AG22" s="1"/>
      <c r="AH22" s="1"/>
      <c r="AI22" s="1"/>
      <c r="AJ22" s="1"/>
      <c r="AK22" s="1"/>
      <c r="AL22" s="1"/>
    </row>
    <row r="23" spans="1:38" ht="15.75" customHeight="1">
      <c r="A23" s="17"/>
      <c r="B23" s="17"/>
      <c r="C23" s="17"/>
      <c r="D23" s="17"/>
      <c r="E23" s="25" t="s">
        <v>22</v>
      </c>
      <c r="F23" s="22"/>
      <c r="G23" s="22"/>
      <c r="H23" s="127" t="s">
        <v>418</v>
      </c>
      <c r="I23" s="126"/>
      <c r="J23" s="126"/>
      <c r="K23" s="92"/>
      <c r="L23" s="26">
        <f t="shared" ref="L23:W23" si="37">SUMIF($H$9:$H$24,"$$$",L$9:L$24)</f>
        <v>0</v>
      </c>
      <c r="M23" s="26">
        <f t="shared" si="37"/>
        <v>0</v>
      </c>
      <c r="N23" s="26">
        <f t="shared" si="37"/>
        <v>0</v>
      </c>
      <c r="O23" s="26">
        <f t="shared" si="37"/>
        <v>0</v>
      </c>
      <c r="P23" s="26">
        <f t="shared" si="37"/>
        <v>0</v>
      </c>
      <c r="Q23" s="26">
        <f t="shared" si="37"/>
        <v>0</v>
      </c>
      <c r="R23" s="26">
        <f t="shared" si="37"/>
        <v>0</v>
      </c>
      <c r="S23" s="26">
        <f t="shared" si="37"/>
        <v>0</v>
      </c>
      <c r="T23" s="26">
        <f t="shared" si="37"/>
        <v>0</v>
      </c>
      <c r="U23" s="26">
        <f t="shared" si="37"/>
        <v>0</v>
      </c>
      <c r="V23" s="26">
        <f t="shared" si="37"/>
        <v>0</v>
      </c>
      <c r="W23" s="26">
        <f t="shared" si="37"/>
        <v>0</v>
      </c>
      <c r="X23" s="92"/>
      <c r="Y23" s="27">
        <f>SUM(L23:W23)</f>
        <v>0</v>
      </c>
      <c r="Z23" s="92"/>
      <c r="AA23" s="28">
        <f>IFERROR($Y23/$Y$55, 0)</f>
        <v>0</v>
      </c>
      <c r="AB23" s="29">
        <f>IFERROR($Y23/$Y$398, 0)</f>
        <v>0</v>
      </c>
      <c r="AC23" s="21"/>
      <c r="AD23" s="3"/>
      <c r="AE23" s="3"/>
      <c r="AF23" s="1"/>
      <c r="AG23" s="1"/>
      <c r="AH23" s="1"/>
      <c r="AI23" s="1"/>
      <c r="AJ23" s="1"/>
      <c r="AK23" s="1"/>
      <c r="AL23" s="1"/>
    </row>
    <row r="24" spans="1:38" ht="27.6">
      <c r="A24" s="5" t="s">
        <v>750</v>
      </c>
      <c r="B24" s="5" t="s">
        <v>23</v>
      </c>
      <c r="C24" s="5" t="s">
        <v>24</v>
      </c>
      <c r="D24" s="5" t="s">
        <v>25</v>
      </c>
      <c r="E24" s="5" t="s">
        <v>26</v>
      </c>
      <c r="F24" s="260" t="s">
        <v>27</v>
      </c>
      <c r="G24" s="260"/>
      <c r="H24" s="4"/>
      <c r="I24" s="128"/>
      <c r="J24" s="128"/>
      <c r="K24" s="12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29"/>
      <c r="Y24" s="30"/>
      <c r="Z24" s="129"/>
      <c r="AA24" s="130"/>
      <c r="AB24" s="131"/>
      <c r="AC24" s="123"/>
      <c r="AD24" s="7"/>
      <c r="AE24" s="7"/>
      <c r="AF24" s="8"/>
      <c r="AG24" s="8"/>
      <c r="AH24" s="8"/>
      <c r="AI24" s="8"/>
      <c r="AJ24" s="8"/>
      <c r="AK24" s="8"/>
      <c r="AL24" s="8"/>
    </row>
    <row r="25" spans="1:38" ht="15.75" customHeight="1">
      <c r="A25" s="1"/>
      <c r="B25" s="1"/>
      <c r="C25" s="12"/>
      <c r="D25" s="12"/>
      <c r="E25" s="14"/>
      <c r="F25" s="14"/>
      <c r="G25" s="14"/>
      <c r="H25" s="14" t="s">
        <v>14</v>
      </c>
      <c r="I25" s="233"/>
      <c r="J25" s="237" t="s">
        <v>437</v>
      </c>
      <c r="K25" s="92"/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92"/>
      <c r="Y25" s="15">
        <f t="shared" ref="Y25:Y36" si="38">SUM(L25:W25)</f>
        <v>0</v>
      </c>
      <c r="Z25" s="92"/>
      <c r="AA25" s="256">
        <f>IFERROR($Y26/$Y$55, 0)</f>
        <v>0</v>
      </c>
      <c r="AB25" s="239">
        <f>IFERROR($Y26/$Y$398, 0)</f>
        <v>0</v>
      </c>
      <c r="AC25" s="21"/>
      <c r="AD25" s="3"/>
      <c r="AE25" s="3"/>
      <c r="AF25" s="1"/>
      <c r="AG25" s="1"/>
      <c r="AH25" s="1"/>
      <c r="AI25" s="1"/>
      <c r="AJ25" s="1"/>
      <c r="AK25" s="1"/>
      <c r="AL25" s="1"/>
    </row>
    <row r="26" spans="1:38" ht="15.75" customHeight="1">
      <c r="A26" s="17">
        <v>100</v>
      </c>
      <c r="B26" s="17">
        <v>100</v>
      </c>
      <c r="C26" s="17">
        <v>100</v>
      </c>
      <c r="D26" s="17">
        <v>200</v>
      </c>
      <c r="E26" s="14" t="s">
        <v>16</v>
      </c>
      <c r="F26" s="259"/>
      <c r="G26" s="259"/>
      <c r="H26" s="14" t="s">
        <v>15</v>
      </c>
      <c r="I26" s="233"/>
      <c r="J26" s="237"/>
      <c r="K26" s="92"/>
      <c r="L26" s="19">
        <f t="shared" ref="L26" si="39">$A26*L25</f>
        <v>0</v>
      </c>
      <c r="M26" s="19">
        <f t="shared" ref="M26:R26" si="40">$B26*M25</f>
        <v>0</v>
      </c>
      <c r="N26" s="19">
        <f t="shared" si="40"/>
        <v>0</v>
      </c>
      <c r="O26" s="19">
        <f t="shared" ref="O26:P26" si="41">$B26*O25</f>
        <v>0</v>
      </c>
      <c r="P26" s="19">
        <f t="shared" si="41"/>
        <v>0</v>
      </c>
      <c r="Q26" s="19">
        <f t="shared" ref="Q26" si="42">$B26*Q25</f>
        <v>0</v>
      </c>
      <c r="R26" s="19">
        <f t="shared" si="40"/>
        <v>0</v>
      </c>
      <c r="S26" s="19">
        <f t="shared" ref="S26:U26" si="43">$C26*S25</f>
        <v>0</v>
      </c>
      <c r="T26" s="19">
        <f t="shared" si="43"/>
        <v>0</v>
      </c>
      <c r="U26" s="19">
        <f t="shared" si="43"/>
        <v>0</v>
      </c>
      <c r="V26" s="19">
        <f t="shared" ref="V26:W26" si="44">$D26*V25</f>
        <v>0</v>
      </c>
      <c r="W26" s="19">
        <f t="shared" si="44"/>
        <v>0</v>
      </c>
      <c r="X26" s="92"/>
      <c r="Y26" s="20">
        <f t="shared" si="38"/>
        <v>0</v>
      </c>
      <c r="Z26" s="92"/>
      <c r="AA26" s="256"/>
      <c r="AB26" s="239"/>
      <c r="AC26" s="121"/>
      <c r="AD26" s="3"/>
      <c r="AE26" s="3"/>
      <c r="AF26" s="1"/>
      <c r="AG26" s="1"/>
      <c r="AH26" s="1"/>
      <c r="AI26" s="1"/>
      <c r="AJ26" s="1"/>
      <c r="AK26" s="1"/>
      <c r="AL26" s="1"/>
    </row>
    <row r="27" spans="1:38" ht="15.75" customHeight="1">
      <c r="A27" s="17"/>
      <c r="B27" s="17"/>
      <c r="C27" s="17"/>
      <c r="D27" s="17"/>
      <c r="E27" s="13"/>
      <c r="F27" s="14"/>
      <c r="G27" s="14"/>
      <c r="H27" s="14" t="s">
        <v>14</v>
      </c>
      <c r="I27" s="233"/>
      <c r="J27" s="237" t="s">
        <v>437</v>
      </c>
      <c r="K27" s="92"/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92"/>
      <c r="Y27" s="15">
        <f t="shared" si="38"/>
        <v>0</v>
      </c>
      <c r="Z27" s="92"/>
      <c r="AA27" s="256">
        <f>IFERROR($Y28/$Y$55, 0)</f>
        <v>0</v>
      </c>
      <c r="AB27" s="239">
        <f>IFERROR($Y28/$Y$398, 0)</f>
        <v>0</v>
      </c>
      <c r="AC27" s="121"/>
      <c r="AD27" s="3"/>
      <c r="AE27" s="3"/>
      <c r="AF27" s="1"/>
      <c r="AG27" s="1"/>
      <c r="AH27" s="1"/>
      <c r="AI27" s="1"/>
      <c r="AJ27" s="1"/>
      <c r="AK27" s="1"/>
      <c r="AL27" s="1"/>
    </row>
    <row r="28" spans="1:38" ht="15.75" customHeight="1">
      <c r="A28" s="17">
        <v>100</v>
      </c>
      <c r="B28" s="17">
        <v>100</v>
      </c>
      <c r="C28" s="17">
        <v>100</v>
      </c>
      <c r="D28" s="17">
        <v>200</v>
      </c>
      <c r="E28" s="14" t="s">
        <v>17</v>
      </c>
      <c r="F28" s="259"/>
      <c r="G28" s="259"/>
      <c r="H28" s="14" t="s">
        <v>15</v>
      </c>
      <c r="I28" s="233"/>
      <c r="J28" s="237"/>
      <c r="K28" s="92"/>
      <c r="L28" s="19">
        <f t="shared" ref="L28" si="45">$A28*L27</f>
        <v>0</v>
      </c>
      <c r="M28" s="19">
        <f t="shared" ref="M28:R28" si="46">$B28*M27</f>
        <v>0</v>
      </c>
      <c r="N28" s="19">
        <f t="shared" si="46"/>
        <v>0</v>
      </c>
      <c r="O28" s="19">
        <f t="shared" ref="O28:P28" si="47">$B28*O27</f>
        <v>0</v>
      </c>
      <c r="P28" s="19">
        <f t="shared" si="47"/>
        <v>0</v>
      </c>
      <c r="Q28" s="19">
        <f t="shared" ref="Q28" si="48">$B28*Q27</f>
        <v>0</v>
      </c>
      <c r="R28" s="19">
        <f t="shared" si="46"/>
        <v>0</v>
      </c>
      <c r="S28" s="19">
        <f t="shared" ref="S28:U28" si="49">$C28*S27</f>
        <v>0</v>
      </c>
      <c r="T28" s="19">
        <f t="shared" si="49"/>
        <v>0</v>
      </c>
      <c r="U28" s="19">
        <f t="shared" si="49"/>
        <v>0</v>
      </c>
      <c r="V28" s="19">
        <f t="shared" ref="V28:W28" si="50">$D28*V27</f>
        <v>0</v>
      </c>
      <c r="W28" s="19">
        <f t="shared" si="50"/>
        <v>0</v>
      </c>
      <c r="X28" s="92"/>
      <c r="Y28" s="20">
        <f t="shared" si="38"/>
        <v>0</v>
      </c>
      <c r="Z28" s="92"/>
      <c r="AA28" s="256"/>
      <c r="AB28" s="239"/>
      <c r="AC28" s="121"/>
      <c r="AD28" s="3"/>
      <c r="AE28" s="3"/>
      <c r="AF28" s="1"/>
      <c r="AG28" s="1"/>
      <c r="AH28" s="1"/>
      <c r="AI28" s="1"/>
      <c r="AJ28" s="1"/>
      <c r="AK28" s="1"/>
      <c r="AL28" s="1"/>
    </row>
    <row r="29" spans="1:38" ht="15.75" customHeight="1">
      <c r="A29" s="17"/>
      <c r="B29" s="17"/>
      <c r="C29" s="17"/>
      <c r="D29" s="17"/>
      <c r="E29" s="13"/>
      <c r="F29" s="14"/>
      <c r="G29" s="14"/>
      <c r="H29" s="14" t="s">
        <v>14</v>
      </c>
      <c r="I29" s="233"/>
      <c r="J29" s="237" t="s">
        <v>437</v>
      </c>
      <c r="K29" s="92"/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92"/>
      <c r="Y29" s="15">
        <f t="shared" si="38"/>
        <v>0</v>
      </c>
      <c r="Z29" s="92"/>
      <c r="AA29" s="256">
        <f>IFERROR($Y30/$Y$55, 0)</f>
        <v>0</v>
      </c>
      <c r="AB29" s="239">
        <f>IFERROR($Y30/$Y$398, 0)</f>
        <v>0</v>
      </c>
      <c r="AC29" s="121"/>
      <c r="AD29" s="3"/>
      <c r="AE29" s="3"/>
      <c r="AF29" s="1"/>
      <c r="AG29" s="1"/>
      <c r="AH29" s="1"/>
      <c r="AI29" s="1"/>
      <c r="AJ29" s="1"/>
      <c r="AK29" s="1"/>
      <c r="AL29" s="1"/>
    </row>
    <row r="30" spans="1:38" ht="15.75" customHeight="1">
      <c r="A30" s="17">
        <v>100</v>
      </c>
      <c r="B30" s="17">
        <v>100</v>
      </c>
      <c r="C30" s="17">
        <v>100</v>
      </c>
      <c r="D30" s="17">
        <v>200</v>
      </c>
      <c r="E30" s="14" t="s">
        <v>18</v>
      </c>
      <c r="F30" s="259"/>
      <c r="G30" s="259"/>
      <c r="H30" s="14" t="s">
        <v>15</v>
      </c>
      <c r="I30" s="233"/>
      <c r="J30" s="237"/>
      <c r="K30" s="92"/>
      <c r="L30" s="19">
        <f t="shared" ref="L30" si="51">$A30*L29</f>
        <v>0</v>
      </c>
      <c r="M30" s="19">
        <f t="shared" ref="M30:R30" si="52">$B30*M29</f>
        <v>0</v>
      </c>
      <c r="N30" s="19">
        <f t="shared" si="52"/>
        <v>0</v>
      </c>
      <c r="O30" s="19">
        <f t="shared" ref="O30:P30" si="53">$B30*O29</f>
        <v>0</v>
      </c>
      <c r="P30" s="19">
        <f t="shared" si="53"/>
        <v>0</v>
      </c>
      <c r="Q30" s="19">
        <f t="shared" ref="Q30" si="54">$B30*Q29</f>
        <v>0</v>
      </c>
      <c r="R30" s="19">
        <f t="shared" si="52"/>
        <v>0</v>
      </c>
      <c r="S30" s="19">
        <f t="shared" ref="S30:U30" si="55">$C30*S29</f>
        <v>0</v>
      </c>
      <c r="T30" s="19">
        <f t="shared" si="55"/>
        <v>0</v>
      </c>
      <c r="U30" s="19">
        <f t="shared" si="55"/>
        <v>0</v>
      </c>
      <c r="V30" s="19">
        <f t="shared" ref="V30:W30" si="56">$D30*V29</f>
        <v>0</v>
      </c>
      <c r="W30" s="19">
        <f t="shared" si="56"/>
        <v>0</v>
      </c>
      <c r="X30" s="92"/>
      <c r="Y30" s="20">
        <f t="shared" si="38"/>
        <v>0</v>
      </c>
      <c r="Z30" s="92"/>
      <c r="AA30" s="256"/>
      <c r="AB30" s="239"/>
      <c r="AC30" s="121"/>
      <c r="AD30" s="3"/>
      <c r="AE30" s="3"/>
      <c r="AF30" s="1"/>
      <c r="AG30" s="1"/>
      <c r="AH30" s="1"/>
      <c r="AI30" s="1"/>
      <c r="AJ30" s="1"/>
      <c r="AK30" s="1"/>
      <c r="AL30" s="1"/>
    </row>
    <row r="31" spans="1:38" ht="15.75" customHeight="1">
      <c r="A31" s="17"/>
      <c r="B31" s="17"/>
      <c r="C31" s="17"/>
      <c r="D31" s="17"/>
      <c r="E31" s="13"/>
      <c r="F31" s="14"/>
      <c r="G31" s="14"/>
      <c r="H31" s="14" t="s">
        <v>14</v>
      </c>
      <c r="I31" s="233"/>
      <c r="J31" s="237" t="s">
        <v>437</v>
      </c>
      <c r="K31" s="92"/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92"/>
      <c r="Y31" s="15">
        <f t="shared" si="38"/>
        <v>0</v>
      </c>
      <c r="Z31" s="92"/>
      <c r="AA31" s="256">
        <f>IFERROR($Y32/$Y$55, 0)</f>
        <v>0</v>
      </c>
      <c r="AB31" s="239">
        <f>IFERROR($Y32/$Y$398, 0)</f>
        <v>0</v>
      </c>
      <c r="AC31" s="121"/>
      <c r="AD31" s="3"/>
      <c r="AE31" s="3"/>
      <c r="AF31" s="1"/>
      <c r="AG31" s="1"/>
      <c r="AH31" s="1"/>
      <c r="AI31" s="1"/>
      <c r="AJ31" s="1"/>
      <c r="AK31" s="1"/>
      <c r="AL31" s="1"/>
    </row>
    <row r="32" spans="1:38" ht="15.75" customHeight="1">
      <c r="A32" s="17">
        <v>100</v>
      </c>
      <c r="B32" s="17">
        <v>100</v>
      </c>
      <c r="C32" s="17">
        <v>100</v>
      </c>
      <c r="D32" s="17">
        <v>200</v>
      </c>
      <c r="E32" s="14" t="s">
        <v>19</v>
      </c>
      <c r="F32" s="259"/>
      <c r="G32" s="259"/>
      <c r="H32" s="14" t="s">
        <v>15</v>
      </c>
      <c r="I32" s="233"/>
      <c r="J32" s="237"/>
      <c r="K32" s="92"/>
      <c r="L32" s="19">
        <f t="shared" ref="L32" si="57">$A32*L31</f>
        <v>0</v>
      </c>
      <c r="M32" s="19">
        <f t="shared" ref="M32:R32" si="58">$B32*M31</f>
        <v>0</v>
      </c>
      <c r="N32" s="19">
        <f t="shared" si="58"/>
        <v>0</v>
      </c>
      <c r="O32" s="19">
        <f t="shared" ref="O32:P32" si="59">$B32*O31</f>
        <v>0</v>
      </c>
      <c r="P32" s="19">
        <f t="shared" si="59"/>
        <v>0</v>
      </c>
      <c r="Q32" s="19">
        <f t="shared" ref="Q32" si="60">$B32*Q31</f>
        <v>0</v>
      </c>
      <c r="R32" s="19">
        <f t="shared" si="58"/>
        <v>0</v>
      </c>
      <c r="S32" s="19">
        <f t="shared" ref="S32:U32" si="61">$C32*S31</f>
        <v>0</v>
      </c>
      <c r="T32" s="19">
        <f t="shared" si="61"/>
        <v>0</v>
      </c>
      <c r="U32" s="19">
        <f t="shared" si="61"/>
        <v>0</v>
      </c>
      <c r="V32" s="19">
        <f t="shared" ref="V32:W32" si="62">$D32*V31</f>
        <v>0</v>
      </c>
      <c r="W32" s="19">
        <f t="shared" si="62"/>
        <v>0</v>
      </c>
      <c r="X32" s="92"/>
      <c r="Y32" s="20">
        <f t="shared" si="38"/>
        <v>0</v>
      </c>
      <c r="Z32" s="92"/>
      <c r="AA32" s="256"/>
      <c r="AB32" s="239"/>
      <c r="AC32" s="121"/>
      <c r="AD32" s="3"/>
      <c r="AE32" s="3"/>
      <c r="AF32" s="1"/>
      <c r="AG32" s="1"/>
      <c r="AH32" s="1"/>
      <c r="AI32" s="1"/>
      <c r="AJ32" s="1"/>
      <c r="AK32" s="1"/>
      <c r="AL32" s="1"/>
    </row>
    <row r="33" spans="1:38" ht="15.75" customHeight="1">
      <c r="A33" s="17"/>
      <c r="B33" s="17"/>
      <c r="C33" s="17"/>
      <c r="D33" s="17"/>
      <c r="E33" s="13"/>
      <c r="F33" s="14"/>
      <c r="G33" s="14"/>
      <c r="H33" s="14" t="s">
        <v>14</v>
      </c>
      <c r="I33" s="233"/>
      <c r="J33" s="237" t="s">
        <v>437</v>
      </c>
      <c r="K33" s="92"/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92"/>
      <c r="Y33" s="15">
        <f t="shared" si="38"/>
        <v>0</v>
      </c>
      <c r="Z33" s="92"/>
      <c r="AA33" s="256">
        <f>IFERROR($Y34/$Y$55, 0)</f>
        <v>0</v>
      </c>
      <c r="AB33" s="239">
        <f>IFERROR($Y34/$Y$398, 0)</f>
        <v>0</v>
      </c>
      <c r="AC33" s="121"/>
      <c r="AD33" s="3"/>
      <c r="AE33" s="3"/>
      <c r="AF33" s="1"/>
      <c r="AG33" s="1"/>
      <c r="AH33" s="1"/>
      <c r="AI33" s="1"/>
      <c r="AJ33" s="1"/>
      <c r="AK33" s="1"/>
      <c r="AL33" s="1"/>
    </row>
    <row r="34" spans="1:38" ht="15.75" customHeight="1">
      <c r="A34" s="17">
        <v>100</v>
      </c>
      <c r="B34" s="17">
        <v>100</v>
      </c>
      <c r="C34" s="17">
        <v>100</v>
      </c>
      <c r="D34" s="17">
        <v>200</v>
      </c>
      <c r="E34" s="14" t="s">
        <v>20</v>
      </c>
      <c r="F34" s="259"/>
      <c r="G34" s="259"/>
      <c r="H34" s="14" t="s">
        <v>15</v>
      </c>
      <c r="I34" s="233"/>
      <c r="J34" s="237"/>
      <c r="K34" s="92"/>
      <c r="L34" s="19">
        <f t="shared" ref="L34" si="63">$A34*L33</f>
        <v>0</v>
      </c>
      <c r="M34" s="19">
        <f t="shared" ref="M34:R34" si="64">$B34*M33</f>
        <v>0</v>
      </c>
      <c r="N34" s="19">
        <f t="shared" si="64"/>
        <v>0</v>
      </c>
      <c r="O34" s="19">
        <f t="shared" ref="O34:P34" si="65">$B34*O33</f>
        <v>0</v>
      </c>
      <c r="P34" s="19">
        <f t="shared" si="65"/>
        <v>0</v>
      </c>
      <c r="Q34" s="19">
        <f t="shared" ref="Q34" si="66">$B34*Q33</f>
        <v>0</v>
      </c>
      <c r="R34" s="19">
        <f t="shared" si="64"/>
        <v>0</v>
      </c>
      <c r="S34" s="19">
        <f t="shared" ref="S34:U34" si="67">$C34*S33</f>
        <v>0</v>
      </c>
      <c r="T34" s="19">
        <f t="shared" si="67"/>
        <v>0</v>
      </c>
      <c r="U34" s="19">
        <f t="shared" si="67"/>
        <v>0</v>
      </c>
      <c r="V34" s="19">
        <f t="shared" ref="V34:W34" si="68">$D34*V33</f>
        <v>0</v>
      </c>
      <c r="W34" s="19">
        <f t="shared" si="68"/>
        <v>0</v>
      </c>
      <c r="X34" s="92"/>
      <c r="Y34" s="20">
        <f t="shared" si="38"/>
        <v>0</v>
      </c>
      <c r="Z34" s="92"/>
      <c r="AA34" s="256"/>
      <c r="AB34" s="239"/>
      <c r="AC34" s="121"/>
      <c r="AD34" s="3"/>
      <c r="AE34" s="3"/>
      <c r="AF34" s="1"/>
      <c r="AG34" s="1"/>
      <c r="AH34" s="1"/>
      <c r="AI34" s="1"/>
      <c r="AJ34" s="1"/>
      <c r="AK34" s="1"/>
      <c r="AL34" s="1"/>
    </row>
    <row r="35" spans="1:38" ht="15.75" customHeight="1">
      <c r="A35" s="17"/>
      <c r="B35" s="17"/>
      <c r="C35" s="17"/>
      <c r="D35" s="17"/>
      <c r="E35" s="18"/>
      <c r="F35" s="14"/>
      <c r="G35" s="14"/>
      <c r="H35" s="14" t="s">
        <v>14</v>
      </c>
      <c r="I35" s="233"/>
      <c r="J35" s="237" t="s">
        <v>437</v>
      </c>
      <c r="K35" s="92"/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92"/>
      <c r="Y35" s="15">
        <f t="shared" si="38"/>
        <v>0</v>
      </c>
      <c r="Z35" s="92"/>
      <c r="AA35" s="256">
        <f>IFERROR($Y36/$Y$55, 0)</f>
        <v>0</v>
      </c>
      <c r="AB35" s="239">
        <f>IFERROR($Y36/$Y$398, 0)</f>
        <v>0</v>
      </c>
      <c r="AC35" s="121"/>
      <c r="AD35" s="3"/>
      <c r="AE35" s="3"/>
      <c r="AF35" s="1"/>
      <c r="AG35" s="1"/>
      <c r="AH35" s="1"/>
      <c r="AI35" s="1"/>
      <c r="AJ35" s="1"/>
      <c r="AK35" s="1"/>
      <c r="AL35" s="1"/>
    </row>
    <row r="36" spans="1:38" ht="15.75" customHeight="1">
      <c r="A36" s="17">
        <v>100</v>
      </c>
      <c r="B36" s="17">
        <v>100</v>
      </c>
      <c r="C36" s="17">
        <v>100</v>
      </c>
      <c r="D36" s="17">
        <v>200</v>
      </c>
      <c r="E36" s="14" t="s">
        <v>21</v>
      </c>
      <c r="F36" s="259"/>
      <c r="G36" s="259"/>
      <c r="H36" s="14" t="s">
        <v>15</v>
      </c>
      <c r="I36" s="233"/>
      <c r="J36" s="237"/>
      <c r="K36" s="92"/>
      <c r="L36" s="19">
        <f t="shared" ref="L36" si="69">$A36*L35</f>
        <v>0</v>
      </c>
      <c r="M36" s="19">
        <f t="shared" ref="M36:R36" si="70">$B36*M35</f>
        <v>0</v>
      </c>
      <c r="N36" s="19">
        <f t="shared" si="70"/>
        <v>0</v>
      </c>
      <c r="O36" s="19">
        <f t="shared" ref="O36:P36" si="71">$B36*O35</f>
        <v>0</v>
      </c>
      <c r="P36" s="19">
        <f t="shared" si="71"/>
        <v>0</v>
      </c>
      <c r="Q36" s="19">
        <f t="shared" ref="Q36" si="72">$B36*Q35</f>
        <v>0</v>
      </c>
      <c r="R36" s="19">
        <f t="shared" si="70"/>
        <v>0</v>
      </c>
      <c r="S36" s="19">
        <f t="shared" ref="S36:U36" si="73">$C36*S35</f>
        <v>0</v>
      </c>
      <c r="T36" s="19">
        <f t="shared" si="73"/>
        <v>0</v>
      </c>
      <c r="U36" s="19">
        <f t="shared" si="73"/>
        <v>0</v>
      </c>
      <c r="V36" s="19">
        <f t="shared" ref="V36:W36" si="74">$D36*V35</f>
        <v>0</v>
      </c>
      <c r="W36" s="19">
        <f t="shared" si="74"/>
        <v>0</v>
      </c>
      <c r="X36" s="92"/>
      <c r="Y36" s="20">
        <f t="shared" si="38"/>
        <v>0</v>
      </c>
      <c r="Z36" s="92"/>
      <c r="AA36" s="256"/>
      <c r="AB36" s="239"/>
      <c r="AC36" s="121"/>
      <c r="AD36" s="3"/>
      <c r="AE36" s="3"/>
      <c r="AF36" s="1"/>
      <c r="AG36" s="1"/>
      <c r="AH36" s="1"/>
      <c r="AI36" s="1"/>
      <c r="AJ36" s="1"/>
      <c r="AK36" s="1"/>
      <c r="AL36" s="1"/>
    </row>
    <row r="37" spans="1:38" ht="15.75" customHeight="1">
      <c r="A37" s="17"/>
      <c r="B37" s="17"/>
      <c r="C37" s="17"/>
      <c r="D37" s="17"/>
      <c r="E37" s="14"/>
      <c r="F37" s="22"/>
      <c r="G37" s="22"/>
      <c r="H37" s="14"/>
      <c r="I37" s="126"/>
      <c r="J37" s="126"/>
      <c r="K37" s="92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92"/>
      <c r="Y37" s="20"/>
      <c r="Z37" s="92"/>
      <c r="AA37" s="132"/>
      <c r="AB37" s="133"/>
      <c r="AC37" s="121"/>
      <c r="AD37" s="3"/>
      <c r="AE37" s="3"/>
      <c r="AF37" s="1"/>
      <c r="AG37" s="1"/>
      <c r="AH37" s="1"/>
      <c r="AI37" s="1"/>
      <c r="AJ37" s="1"/>
      <c r="AK37" s="1"/>
      <c r="AL37" s="1"/>
    </row>
    <row r="38" spans="1:38" ht="15.75" customHeight="1">
      <c r="A38" s="17"/>
      <c r="B38" s="17"/>
      <c r="C38" s="17"/>
      <c r="D38" s="17"/>
      <c r="E38" s="25" t="s">
        <v>28</v>
      </c>
      <c r="F38" s="22"/>
      <c r="G38" s="22"/>
      <c r="H38" s="14" t="s">
        <v>418</v>
      </c>
      <c r="I38" s="126"/>
      <c r="J38" s="126"/>
      <c r="K38" s="92"/>
      <c r="L38" s="26">
        <f t="shared" ref="L38:W38" si="75">SUMIF($H$24:$H$39,"$$$",L$24:L$39)</f>
        <v>0</v>
      </c>
      <c r="M38" s="26">
        <f t="shared" si="75"/>
        <v>0</v>
      </c>
      <c r="N38" s="26">
        <f t="shared" si="75"/>
        <v>0</v>
      </c>
      <c r="O38" s="26">
        <f t="shared" si="75"/>
        <v>0</v>
      </c>
      <c r="P38" s="26">
        <f t="shared" si="75"/>
        <v>0</v>
      </c>
      <c r="Q38" s="26">
        <f t="shared" si="75"/>
        <v>0</v>
      </c>
      <c r="R38" s="26">
        <f t="shared" si="75"/>
        <v>0</v>
      </c>
      <c r="S38" s="26">
        <f t="shared" si="75"/>
        <v>0</v>
      </c>
      <c r="T38" s="26">
        <f t="shared" si="75"/>
        <v>0</v>
      </c>
      <c r="U38" s="26">
        <f t="shared" si="75"/>
        <v>0</v>
      </c>
      <c r="V38" s="26">
        <f t="shared" si="75"/>
        <v>0</v>
      </c>
      <c r="W38" s="26">
        <f t="shared" si="75"/>
        <v>0</v>
      </c>
      <c r="X38" s="92"/>
      <c r="Y38" s="27">
        <f>SUM(L38:W38)</f>
        <v>0</v>
      </c>
      <c r="Z38" s="92"/>
      <c r="AA38" s="28">
        <f>IFERROR($Y38/$Y$55, 0)</f>
        <v>0</v>
      </c>
      <c r="AB38" s="29">
        <f>IFERROR($Y38/$Y$398, 0)</f>
        <v>0</v>
      </c>
      <c r="AC38" s="121"/>
      <c r="AD38" s="3"/>
      <c r="AE38" s="3"/>
      <c r="AF38" s="1"/>
      <c r="AG38" s="1"/>
      <c r="AH38" s="1"/>
      <c r="AI38" s="1"/>
      <c r="AJ38" s="1"/>
      <c r="AK38" s="1"/>
      <c r="AL38" s="1"/>
    </row>
    <row r="39" spans="1:38" ht="24" customHeight="1">
      <c r="A39" s="5" t="s">
        <v>29</v>
      </c>
      <c r="B39" s="5"/>
      <c r="C39" s="5"/>
      <c r="D39" s="5"/>
      <c r="E39" s="5" t="s">
        <v>30</v>
      </c>
      <c r="F39" s="260" t="s">
        <v>31</v>
      </c>
      <c r="G39" s="260"/>
      <c r="H39" s="44"/>
      <c r="I39" s="134"/>
      <c r="J39" s="134"/>
      <c r="K39" s="129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129"/>
      <c r="Y39" s="30"/>
      <c r="Z39" s="129"/>
      <c r="AA39" s="130"/>
      <c r="AB39" s="131"/>
      <c r="AC39" s="123"/>
      <c r="AD39" s="7"/>
      <c r="AE39" s="7"/>
      <c r="AF39" s="8"/>
      <c r="AG39" s="8"/>
      <c r="AH39" s="8"/>
      <c r="AI39" s="8"/>
      <c r="AJ39" s="8"/>
      <c r="AK39" s="8"/>
      <c r="AL39" s="8"/>
    </row>
    <row r="40" spans="1:38" ht="15.75" customHeight="1">
      <c r="A40" s="1"/>
      <c r="B40" s="1"/>
      <c r="C40" s="12"/>
      <c r="D40" s="12"/>
      <c r="E40" s="14"/>
      <c r="F40" s="14"/>
      <c r="G40" s="14"/>
      <c r="H40" s="14" t="s">
        <v>14</v>
      </c>
      <c r="I40" s="233"/>
      <c r="J40" s="237" t="s">
        <v>437</v>
      </c>
      <c r="K40" s="92"/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92"/>
      <c r="Y40" s="15">
        <f t="shared" ref="Y40:Y51" si="76">SUM(L40:W40)</f>
        <v>0</v>
      </c>
      <c r="Z40" s="92"/>
      <c r="AA40" s="256">
        <f>IFERROR($Y41/$Y$55, 0)</f>
        <v>0</v>
      </c>
      <c r="AB40" s="239">
        <f>IFERROR($Y41/$Y$398, 0)</f>
        <v>0</v>
      </c>
      <c r="AC40" s="21"/>
      <c r="AD40" s="3"/>
      <c r="AE40" s="3"/>
      <c r="AF40" s="1"/>
      <c r="AG40" s="1"/>
      <c r="AH40" s="1"/>
      <c r="AI40" s="1"/>
      <c r="AJ40" s="1"/>
      <c r="AK40" s="1"/>
      <c r="AL40" s="1"/>
    </row>
    <row r="41" spans="1:38" ht="15.75" customHeight="1">
      <c r="A41" s="17">
        <v>100</v>
      </c>
      <c r="B41" s="17"/>
      <c r="C41" s="17"/>
      <c r="D41" s="17"/>
      <c r="E41" s="14" t="s">
        <v>32</v>
      </c>
      <c r="F41" s="259"/>
      <c r="G41" s="259"/>
      <c r="H41" s="14" t="s">
        <v>15</v>
      </c>
      <c r="I41" s="233"/>
      <c r="J41" s="237"/>
      <c r="K41" s="92"/>
      <c r="L41" s="19">
        <f t="shared" ref="L41:W41" si="77">$A41*L40</f>
        <v>0</v>
      </c>
      <c r="M41" s="19">
        <f t="shared" si="77"/>
        <v>0</v>
      </c>
      <c r="N41" s="19">
        <f t="shared" si="77"/>
        <v>0</v>
      </c>
      <c r="O41" s="19">
        <f t="shared" ref="O41:P41" si="78">$A41*O40</f>
        <v>0</v>
      </c>
      <c r="P41" s="19">
        <f t="shared" si="78"/>
        <v>0</v>
      </c>
      <c r="Q41" s="19">
        <f t="shared" ref="Q41" si="79">$A41*Q40</f>
        <v>0</v>
      </c>
      <c r="R41" s="19">
        <f t="shared" si="77"/>
        <v>0</v>
      </c>
      <c r="S41" s="19">
        <f t="shared" si="77"/>
        <v>0</v>
      </c>
      <c r="T41" s="19">
        <f t="shared" si="77"/>
        <v>0</v>
      </c>
      <c r="U41" s="19">
        <f t="shared" si="77"/>
        <v>0</v>
      </c>
      <c r="V41" s="19">
        <f t="shared" si="77"/>
        <v>0</v>
      </c>
      <c r="W41" s="19">
        <f t="shared" si="77"/>
        <v>0</v>
      </c>
      <c r="X41" s="92"/>
      <c r="Y41" s="20">
        <f t="shared" si="76"/>
        <v>0</v>
      </c>
      <c r="Z41" s="92"/>
      <c r="AA41" s="256"/>
      <c r="AB41" s="239"/>
      <c r="AC41" s="121"/>
      <c r="AD41" s="3"/>
      <c r="AE41" s="3"/>
      <c r="AF41" s="1"/>
      <c r="AG41" s="1"/>
      <c r="AH41" s="1"/>
      <c r="AI41" s="1"/>
      <c r="AJ41" s="1"/>
      <c r="AK41" s="1"/>
      <c r="AL41" s="1"/>
    </row>
    <row r="42" spans="1:38" ht="15.75" customHeight="1">
      <c r="A42" s="17"/>
      <c r="B42" s="17"/>
      <c r="C42" s="17"/>
      <c r="D42" s="17"/>
      <c r="E42" s="13"/>
      <c r="F42" s="14"/>
      <c r="G42" s="14"/>
      <c r="H42" s="14" t="s">
        <v>14</v>
      </c>
      <c r="I42" s="233"/>
      <c r="J42" s="237" t="s">
        <v>437</v>
      </c>
      <c r="K42" s="92"/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92"/>
      <c r="Y42" s="15">
        <f t="shared" si="76"/>
        <v>0</v>
      </c>
      <c r="Z42" s="92"/>
      <c r="AA42" s="256">
        <f>IFERROR($Y43/$Y$55, 0)</f>
        <v>0</v>
      </c>
      <c r="AB42" s="239">
        <f>IFERROR($Y43/$Y$398, 0)</f>
        <v>0</v>
      </c>
      <c r="AC42" s="121"/>
      <c r="AD42" s="3"/>
      <c r="AE42" s="3"/>
      <c r="AF42" s="1"/>
      <c r="AG42" s="1"/>
      <c r="AH42" s="1"/>
      <c r="AI42" s="1"/>
      <c r="AJ42" s="1"/>
      <c r="AK42" s="1"/>
      <c r="AL42" s="1"/>
    </row>
    <row r="43" spans="1:38" ht="15.75" customHeight="1">
      <c r="A43" s="17">
        <v>100</v>
      </c>
      <c r="B43" s="17"/>
      <c r="C43" s="17"/>
      <c r="D43" s="17"/>
      <c r="E43" s="14" t="s">
        <v>32</v>
      </c>
      <c r="F43" s="259"/>
      <c r="G43" s="259"/>
      <c r="H43" s="14" t="s">
        <v>15</v>
      </c>
      <c r="I43" s="233"/>
      <c r="J43" s="237"/>
      <c r="K43" s="92"/>
      <c r="L43" s="19">
        <f t="shared" ref="L43:W43" si="80">$A43*L42</f>
        <v>0</v>
      </c>
      <c r="M43" s="19">
        <f t="shared" si="80"/>
        <v>0</v>
      </c>
      <c r="N43" s="19">
        <f t="shared" si="80"/>
        <v>0</v>
      </c>
      <c r="O43" s="19">
        <f t="shared" ref="O43:P43" si="81">$A43*O42</f>
        <v>0</v>
      </c>
      <c r="P43" s="19">
        <f t="shared" si="81"/>
        <v>0</v>
      </c>
      <c r="Q43" s="19">
        <f t="shared" ref="Q43" si="82">$A43*Q42</f>
        <v>0</v>
      </c>
      <c r="R43" s="19">
        <f t="shared" si="80"/>
        <v>0</v>
      </c>
      <c r="S43" s="19">
        <f t="shared" si="80"/>
        <v>0</v>
      </c>
      <c r="T43" s="19">
        <f t="shared" si="80"/>
        <v>0</v>
      </c>
      <c r="U43" s="19">
        <f t="shared" si="80"/>
        <v>0</v>
      </c>
      <c r="V43" s="19">
        <f t="shared" si="80"/>
        <v>0</v>
      </c>
      <c r="W43" s="19">
        <f t="shared" si="80"/>
        <v>0</v>
      </c>
      <c r="X43" s="92"/>
      <c r="Y43" s="20">
        <f t="shared" si="76"/>
        <v>0</v>
      </c>
      <c r="Z43" s="92"/>
      <c r="AA43" s="256"/>
      <c r="AB43" s="239"/>
      <c r="AC43" s="121"/>
      <c r="AD43" s="3"/>
      <c r="AE43" s="3"/>
      <c r="AF43" s="1"/>
      <c r="AG43" s="1"/>
      <c r="AH43" s="1"/>
      <c r="AI43" s="1"/>
      <c r="AJ43" s="1"/>
      <c r="AK43" s="1"/>
      <c r="AL43" s="1"/>
    </row>
    <row r="44" spans="1:38" ht="15.75" customHeight="1">
      <c r="A44" s="17"/>
      <c r="B44" s="17"/>
      <c r="C44" s="17"/>
      <c r="D44" s="17"/>
      <c r="E44" s="13"/>
      <c r="F44" s="14"/>
      <c r="G44" s="14"/>
      <c r="H44" s="14" t="s">
        <v>14</v>
      </c>
      <c r="I44" s="233"/>
      <c r="J44" s="237" t="s">
        <v>437</v>
      </c>
      <c r="K44" s="92"/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92"/>
      <c r="Y44" s="15">
        <f t="shared" si="76"/>
        <v>0</v>
      </c>
      <c r="Z44" s="92"/>
      <c r="AA44" s="256">
        <f>IFERROR($Y45/$Y$55, 0)</f>
        <v>0</v>
      </c>
      <c r="AB44" s="239">
        <f>IFERROR($Y45/$Y$398, 0)</f>
        <v>0</v>
      </c>
      <c r="AC44" s="121"/>
      <c r="AD44" s="3"/>
      <c r="AE44" s="3"/>
      <c r="AF44" s="1"/>
      <c r="AG44" s="1"/>
      <c r="AH44" s="1"/>
      <c r="AI44" s="1"/>
      <c r="AJ44" s="1"/>
      <c r="AK44" s="1"/>
      <c r="AL44" s="1"/>
    </row>
    <row r="45" spans="1:38" ht="15.75" customHeight="1">
      <c r="A45" s="17">
        <v>100</v>
      </c>
      <c r="B45" s="17"/>
      <c r="C45" s="17"/>
      <c r="D45" s="17"/>
      <c r="E45" s="14" t="s">
        <v>32</v>
      </c>
      <c r="F45" s="259"/>
      <c r="G45" s="259"/>
      <c r="H45" s="14" t="s">
        <v>15</v>
      </c>
      <c r="I45" s="233"/>
      <c r="J45" s="237"/>
      <c r="K45" s="92"/>
      <c r="L45" s="19">
        <f t="shared" ref="L45:W45" si="83">$A45*L44</f>
        <v>0</v>
      </c>
      <c r="M45" s="19">
        <f t="shared" si="83"/>
        <v>0</v>
      </c>
      <c r="N45" s="19">
        <f t="shared" si="83"/>
        <v>0</v>
      </c>
      <c r="O45" s="19">
        <f t="shared" ref="O45:P45" si="84">$A45*O44</f>
        <v>0</v>
      </c>
      <c r="P45" s="19">
        <f t="shared" si="84"/>
        <v>0</v>
      </c>
      <c r="Q45" s="19">
        <f t="shared" ref="Q45" si="85">$A45*Q44</f>
        <v>0</v>
      </c>
      <c r="R45" s="19">
        <f t="shared" si="83"/>
        <v>0</v>
      </c>
      <c r="S45" s="19">
        <f t="shared" si="83"/>
        <v>0</v>
      </c>
      <c r="T45" s="19">
        <f t="shared" si="83"/>
        <v>0</v>
      </c>
      <c r="U45" s="19">
        <f t="shared" si="83"/>
        <v>0</v>
      </c>
      <c r="V45" s="19">
        <f t="shared" si="83"/>
        <v>0</v>
      </c>
      <c r="W45" s="19">
        <f t="shared" si="83"/>
        <v>0</v>
      </c>
      <c r="X45" s="92"/>
      <c r="Y45" s="20">
        <f t="shared" si="76"/>
        <v>0</v>
      </c>
      <c r="Z45" s="92"/>
      <c r="AA45" s="256"/>
      <c r="AB45" s="239"/>
      <c r="AC45" s="121"/>
      <c r="AD45" s="3"/>
      <c r="AE45" s="3"/>
      <c r="AF45" s="1"/>
      <c r="AG45" s="1"/>
      <c r="AH45" s="1"/>
      <c r="AI45" s="1"/>
      <c r="AJ45" s="1"/>
      <c r="AK45" s="1"/>
      <c r="AL45" s="1"/>
    </row>
    <row r="46" spans="1:38" ht="15.75" customHeight="1">
      <c r="A46" s="17"/>
      <c r="B46" s="17"/>
      <c r="C46" s="17"/>
      <c r="D46" s="17"/>
      <c r="E46" s="13"/>
      <c r="F46" s="14"/>
      <c r="G46" s="14"/>
      <c r="H46" s="14" t="s">
        <v>14</v>
      </c>
      <c r="I46" s="233"/>
      <c r="J46" s="237" t="s">
        <v>437</v>
      </c>
      <c r="K46" s="92"/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92"/>
      <c r="Y46" s="15">
        <f t="shared" si="76"/>
        <v>0</v>
      </c>
      <c r="Z46" s="92"/>
      <c r="AA46" s="256">
        <f>IFERROR($Y47/$Y$55, 0)</f>
        <v>0</v>
      </c>
      <c r="AB46" s="239">
        <f>IFERROR($Y47/$Y$398, 0)</f>
        <v>0</v>
      </c>
      <c r="AC46" s="121"/>
      <c r="AD46" s="3"/>
      <c r="AE46" s="3"/>
      <c r="AF46" s="1"/>
      <c r="AG46" s="1"/>
      <c r="AH46" s="1"/>
      <c r="AI46" s="1"/>
      <c r="AJ46" s="1"/>
      <c r="AK46" s="1"/>
      <c r="AL46" s="1"/>
    </row>
    <row r="47" spans="1:38" ht="15.75" customHeight="1">
      <c r="A47" s="17">
        <v>100</v>
      </c>
      <c r="B47" s="17"/>
      <c r="C47" s="17"/>
      <c r="D47" s="17"/>
      <c r="E47" s="14" t="s">
        <v>32</v>
      </c>
      <c r="F47" s="259"/>
      <c r="G47" s="259"/>
      <c r="H47" s="14" t="s">
        <v>15</v>
      </c>
      <c r="I47" s="233"/>
      <c r="J47" s="237"/>
      <c r="K47" s="92"/>
      <c r="L47" s="19">
        <f t="shared" ref="L47:W47" si="86">$A47*L46</f>
        <v>0</v>
      </c>
      <c r="M47" s="19">
        <f t="shared" si="86"/>
        <v>0</v>
      </c>
      <c r="N47" s="19">
        <f t="shared" si="86"/>
        <v>0</v>
      </c>
      <c r="O47" s="19">
        <f t="shared" ref="O47:P47" si="87">$A47*O46</f>
        <v>0</v>
      </c>
      <c r="P47" s="19">
        <f t="shared" si="87"/>
        <v>0</v>
      </c>
      <c r="Q47" s="19">
        <f t="shared" ref="Q47" si="88">$A47*Q46</f>
        <v>0</v>
      </c>
      <c r="R47" s="19">
        <f t="shared" si="86"/>
        <v>0</v>
      </c>
      <c r="S47" s="19">
        <f t="shared" si="86"/>
        <v>0</v>
      </c>
      <c r="T47" s="19">
        <f t="shared" si="86"/>
        <v>0</v>
      </c>
      <c r="U47" s="19">
        <f t="shared" si="86"/>
        <v>0</v>
      </c>
      <c r="V47" s="19">
        <f t="shared" si="86"/>
        <v>0</v>
      </c>
      <c r="W47" s="19">
        <f t="shared" si="86"/>
        <v>0</v>
      </c>
      <c r="X47" s="92"/>
      <c r="Y47" s="20">
        <f t="shared" si="76"/>
        <v>0</v>
      </c>
      <c r="Z47" s="92"/>
      <c r="AA47" s="256"/>
      <c r="AB47" s="239"/>
      <c r="AC47" s="121"/>
      <c r="AD47" s="3"/>
      <c r="AE47" s="3"/>
      <c r="AF47" s="1"/>
      <c r="AG47" s="1"/>
      <c r="AH47" s="1"/>
      <c r="AI47" s="1"/>
      <c r="AJ47" s="1"/>
      <c r="AK47" s="1"/>
      <c r="AL47" s="1"/>
    </row>
    <row r="48" spans="1:38" ht="15.75" customHeight="1">
      <c r="A48" s="17"/>
      <c r="B48" s="17"/>
      <c r="C48" s="17"/>
      <c r="D48" s="17"/>
      <c r="E48" s="13"/>
      <c r="F48" s="14"/>
      <c r="G48" s="14"/>
      <c r="H48" s="14" t="s">
        <v>14</v>
      </c>
      <c r="I48" s="233"/>
      <c r="J48" s="237" t="s">
        <v>437</v>
      </c>
      <c r="K48" s="92"/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92"/>
      <c r="Y48" s="15">
        <f t="shared" si="76"/>
        <v>0</v>
      </c>
      <c r="Z48" s="92"/>
      <c r="AA48" s="256">
        <f>IFERROR($Y49/$Y$55, 0)</f>
        <v>0</v>
      </c>
      <c r="AB48" s="239">
        <f>IFERROR($Y49/$Y$398, 0)</f>
        <v>0</v>
      </c>
      <c r="AC48" s="121"/>
      <c r="AD48" s="3"/>
      <c r="AE48" s="3"/>
      <c r="AF48" s="1"/>
      <c r="AG48" s="1"/>
      <c r="AH48" s="1"/>
      <c r="AI48" s="1"/>
      <c r="AJ48" s="1"/>
      <c r="AK48" s="1"/>
      <c r="AL48" s="1"/>
    </row>
    <row r="49" spans="1:38" ht="15.75" customHeight="1">
      <c r="A49" s="17">
        <v>100</v>
      </c>
      <c r="B49" s="17"/>
      <c r="C49" s="17"/>
      <c r="D49" s="17"/>
      <c r="E49" s="14" t="s">
        <v>32</v>
      </c>
      <c r="F49" s="259"/>
      <c r="G49" s="259"/>
      <c r="H49" s="14" t="s">
        <v>15</v>
      </c>
      <c r="I49" s="233"/>
      <c r="J49" s="237"/>
      <c r="K49" s="92"/>
      <c r="L49" s="19">
        <f t="shared" ref="L49:W49" si="89">$A49*L48</f>
        <v>0</v>
      </c>
      <c r="M49" s="19">
        <f t="shared" si="89"/>
        <v>0</v>
      </c>
      <c r="N49" s="19">
        <f t="shared" si="89"/>
        <v>0</v>
      </c>
      <c r="O49" s="19">
        <f t="shared" ref="O49:P49" si="90">$A49*O48</f>
        <v>0</v>
      </c>
      <c r="P49" s="19">
        <f t="shared" si="90"/>
        <v>0</v>
      </c>
      <c r="Q49" s="19">
        <f t="shared" ref="Q49" si="91">$A49*Q48</f>
        <v>0</v>
      </c>
      <c r="R49" s="19">
        <f t="shared" si="89"/>
        <v>0</v>
      </c>
      <c r="S49" s="19">
        <f t="shared" si="89"/>
        <v>0</v>
      </c>
      <c r="T49" s="19">
        <f t="shared" si="89"/>
        <v>0</v>
      </c>
      <c r="U49" s="19">
        <f t="shared" si="89"/>
        <v>0</v>
      </c>
      <c r="V49" s="19">
        <f t="shared" si="89"/>
        <v>0</v>
      </c>
      <c r="W49" s="19">
        <f t="shared" si="89"/>
        <v>0</v>
      </c>
      <c r="X49" s="92"/>
      <c r="Y49" s="20">
        <f t="shared" si="76"/>
        <v>0</v>
      </c>
      <c r="Z49" s="92"/>
      <c r="AA49" s="256"/>
      <c r="AB49" s="239"/>
      <c r="AC49" s="121"/>
      <c r="AD49" s="3"/>
      <c r="AE49" s="3"/>
      <c r="AF49" s="1"/>
      <c r="AG49" s="1"/>
      <c r="AH49" s="1"/>
      <c r="AI49" s="1"/>
      <c r="AJ49" s="1"/>
      <c r="AK49" s="1"/>
      <c r="AL49" s="1"/>
    </row>
    <row r="50" spans="1:38" ht="15.75" customHeight="1">
      <c r="A50" s="17"/>
      <c r="B50" s="17"/>
      <c r="C50" s="17"/>
      <c r="D50" s="17"/>
      <c r="E50" s="18"/>
      <c r="F50" s="14"/>
      <c r="G50" s="14"/>
      <c r="H50" s="14" t="s">
        <v>14</v>
      </c>
      <c r="I50" s="233"/>
      <c r="J50" s="237" t="s">
        <v>437</v>
      </c>
      <c r="K50" s="92"/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92"/>
      <c r="Y50" s="15">
        <f t="shared" si="76"/>
        <v>0</v>
      </c>
      <c r="Z50" s="92"/>
      <c r="AA50" s="256">
        <f>IFERROR($Y51/$Y$55, 0)</f>
        <v>0</v>
      </c>
      <c r="AB50" s="239">
        <f>IFERROR($Y51/$Y$398, 0)</f>
        <v>0</v>
      </c>
      <c r="AC50" s="121"/>
      <c r="AD50" s="3"/>
      <c r="AE50" s="3"/>
      <c r="AF50" s="1"/>
      <c r="AG50" s="1"/>
      <c r="AH50" s="1"/>
      <c r="AI50" s="1"/>
      <c r="AJ50" s="1"/>
      <c r="AK50" s="1"/>
      <c r="AL50" s="1"/>
    </row>
    <row r="51" spans="1:38" ht="15.75" customHeight="1">
      <c r="A51" s="17">
        <v>100</v>
      </c>
      <c r="B51" s="17"/>
      <c r="C51" s="17"/>
      <c r="D51" s="17"/>
      <c r="E51" s="14" t="s">
        <v>32</v>
      </c>
      <c r="F51" s="259"/>
      <c r="G51" s="259"/>
      <c r="H51" s="14" t="s">
        <v>15</v>
      </c>
      <c r="I51" s="233"/>
      <c r="J51" s="237"/>
      <c r="K51" s="92"/>
      <c r="L51" s="19">
        <f t="shared" ref="L51:W51" si="92">$A51*L50</f>
        <v>0</v>
      </c>
      <c r="M51" s="19">
        <f t="shared" si="92"/>
        <v>0</v>
      </c>
      <c r="N51" s="19">
        <f t="shared" si="92"/>
        <v>0</v>
      </c>
      <c r="O51" s="19">
        <f t="shared" ref="O51:P51" si="93">$A51*O50</f>
        <v>0</v>
      </c>
      <c r="P51" s="19">
        <f t="shared" si="93"/>
        <v>0</v>
      </c>
      <c r="Q51" s="19">
        <f t="shared" ref="Q51" si="94">$A51*Q50</f>
        <v>0</v>
      </c>
      <c r="R51" s="19">
        <f t="shared" si="92"/>
        <v>0</v>
      </c>
      <c r="S51" s="19">
        <f t="shared" si="92"/>
        <v>0</v>
      </c>
      <c r="T51" s="19">
        <f t="shared" si="92"/>
        <v>0</v>
      </c>
      <c r="U51" s="19">
        <f t="shared" si="92"/>
        <v>0</v>
      </c>
      <c r="V51" s="19">
        <f t="shared" si="92"/>
        <v>0</v>
      </c>
      <c r="W51" s="19">
        <f t="shared" si="92"/>
        <v>0</v>
      </c>
      <c r="X51" s="92"/>
      <c r="Y51" s="20">
        <f t="shared" si="76"/>
        <v>0</v>
      </c>
      <c r="Z51" s="92"/>
      <c r="AA51" s="256"/>
      <c r="AB51" s="239"/>
      <c r="AC51" s="121"/>
      <c r="AD51" s="3"/>
      <c r="AE51" s="3"/>
      <c r="AF51" s="1"/>
      <c r="AG51" s="1"/>
      <c r="AH51" s="1"/>
      <c r="AI51" s="1"/>
      <c r="AJ51" s="1"/>
      <c r="AK51" s="1"/>
      <c r="AL51" s="1"/>
    </row>
    <row r="52" spans="1:38" ht="15.75" customHeight="1">
      <c r="A52" s="17"/>
      <c r="B52" s="17"/>
      <c r="C52" s="17"/>
      <c r="D52" s="17"/>
      <c r="E52" s="14"/>
      <c r="F52" s="22"/>
      <c r="G52" s="22"/>
      <c r="H52" s="14"/>
      <c r="I52" s="126"/>
      <c r="J52" s="126"/>
      <c r="K52" s="92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92"/>
      <c r="Y52" s="20"/>
      <c r="Z52" s="92"/>
      <c r="AA52" s="132"/>
      <c r="AB52" s="133"/>
      <c r="AC52" s="121"/>
      <c r="AD52" s="3"/>
      <c r="AE52" s="3"/>
      <c r="AF52" s="1"/>
      <c r="AG52" s="1"/>
      <c r="AH52" s="1"/>
      <c r="AI52" s="1"/>
      <c r="AJ52" s="1"/>
      <c r="AK52" s="1"/>
      <c r="AL52" s="1"/>
    </row>
    <row r="53" spans="1:38" ht="15.75" customHeight="1">
      <c r="A53" s="17"/>
      <c r="B53" s="17"/>
      <c r="C53" s="17"/>
      <c r="D53" s="17"/>
      <c r="E53" s="25" t="s">
        <v>33</v>
      </c>
      <c r="F53" s="22"/>
      <c r="G53" s="22"/>
      <c r="H53" s="127" t="s">
        <v>418</v>
      </c>
      <c r="I53" s="126"/>
      <c r="J53" s="126"/>
      <c r="K53" s="92"/>
      <c r="L53" s="26">
        <f t="shared" ref="L53:W53" si="95">SUMIF($H$39:$H$54,"$$$",L$39:L$54)</f>
        <v>0</v>
      </c>
      <c r="M53" s="26">
        <f t="shared" si="95"/>
        <v>0</v>
      </c>
      <c r="N53" s="26">
        <f t="shared" si="95"/>
        <v>0</v>
      </c>
      <c r="O53" s="26">
        <f t="shared" si="95"/>
        <v>0</v>
      </c>
      <c r="P53" s="26">
        <f t="shared" si="95"/>
        <v>0</v>
      </c>
      <c r="Q53" s="26">
        <f t="shared" si="95"/>
        <v>0</v>
      </c>
      <c r="R53" s="26">
        <f t="shared" si="95"/>
        <v>0</v>
      </c>
      <c r="S53" s="26">
        <f t="shared" si="95"/>
        <v>0</v>
      </c>
      <c r="T53" s="26">
        <f t="shared" si="95"/>
        <v>0</v>
      </c>
      <c r="U53" s="26">
        <f t="shared" si="95"/>
        <v>0</v>
      </c>
      <c r="V53" s="26">
        <f t="shared" si="95"/>
        <v>0</v>
      </c>
      <c r="W53" s="26">
        <f t="shared" si="95"/>
        <v>0</v>
      </c>
      <c r="X53" s="92"/>
      <c r="Y53" s="27">
        <f>SUM(L53:W53)</f>
        <v>0</v>
      </c>
      <c r="Z53" s="92"/>
      <c r="AA53" s="28">
        <f>IFERROR($Y53/$Y$55, 0)</f>
        <v>0</v>
      </c>
      <c r="AB53" s="29">
        <f>IFERROR($Y53/$Y$398, 0)</f>
        <v>0</v>
      </c>
      <c r="AC53" s="121"/>
      <c r="AD53" s="3"/>
      <c r="AE53" s="3"/>
      <c r="AF53" s="1"/>
      <c r="AG53" s="1"/>
      <c r="AH53" s="1"/>
      <c r="AI53" s="1"/>
      <c r="AJ53" s="1"/>
      <c r="AK53" s="1"/>
      <c r="AL53" s="1"/>
    </row>
    <row r="54" spans="1:38" ht="15.75" customHeight="1">
      <c r="A54" s="17"/>
      <c r="B54" s="17"/>
      <c r="C54" s="17"/>
      <c r="D54" s="17"/>
      <c r="E54" s="14"/>
      <c r="F54" s="14"/>
      <c r="G54" s="14"/>
      <c r="H54" s="14"/>
      <c r="I54" s="126"/>
      <c r="J54" s="126"/>
      <c r="K54" s="92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92"/>
      <c r="Y54" s="20"/>
      <c r="Z54" s="92"/>
      <c r="AA54" s="23"/>
      <c r="AB54" s="24"/>
      <c r="AC54" s="21"/>
      <c r="AD54" s="3"/>
      <c r="AE54" s="3"/>
      <c r="AF54" s="1"/>
      <c r="AG54" s="1"/>
      <c r="AH54" s="1"/>
      <c r="AI54" s="1"/>
      <c r="AJ54" s="1"/>
      <c r="AK54" s="1"/>
      <c r="AL54" s="1"/>
    </row>
    <row r="55" spans="1:38" ht="15.75" customHeight="1">
      <c r="A55" s="17"/>
      <c r="B55" s="17"/>
      <c r="C55" s="17"/>
      <c r="D55" s="17"/>
      <c r="E55" s="25" t="s">
        <v>34</v>
      </c>
      <c r="F55" s="18"/>
      <c r="G55" s="22"/>
      <c r="H55" s="14" t="s">
        <v>11</v>
      </c>
      <c r="I55" s="126"/>
      <c r="J55" s="126"/>
      <c r="K55" s="92"/>
      <c r="L55" s="26">
        <f t="shared" ref="L55:W55" si="96">SUMIF($H$9:$H$57,"$$$",L$9:L$57)</f>
        <v>0</v>
      </c>
      <c r="M55" s="26">
        <f t="shared" si="96"/>
        <v>0</v>
      </c>
      <c r="N55" s="26">
        <f t="shared" si="96"/>
        <v>0</v>
      </c>
      <c r="O55" s="26">
        <f t="shared" si="96"/>
        <v>0</v>
      </c>
      <c r="P55" s="26">
        <f t="shared" si="96"/>
        <v>0</v>
      </c>
      <c r="Q55" s="26">
        <f t="shared" si="96"/>
        <v>0</v>
      </c>
      <c r="R55" s="26">
        <f t="shared" si="96"/>
        <v>0</v>
      </c>
      <c r="S55" s="26">
        <f t="shared" si="96"/>
        <v>0</v>
      </c>
      <c r="T55" s="26">
        <f t="shared" si="96"/>
        <v>0</v>
      </c>
      <c r="U55" s="26">
        <f t="shared" si="96"/>
        <v>0</v>
      </c>
      <c r="V55" s="26">
        <f t="shared" si="96"/>
        <v>0</v>
      </c>
      <c r="W55" s="26">
        <f t="shared" si="96"/>
        <v>0</v>
      </c>
      <c r="X55" s="92"/>
      <c r="Y55" s="26">
        <f>SUM(L55:W55)</f>
        <v>0</v>
      </c>
      <c r="Z55" s="92"/>
      <c r="AA55" s="28">
        <f>IFERROR($Y55/$Y$55, 0)</f>
        <v>0</v>
      </c>
      <c r="AB55" s="29">
        <f>IFERROR($Y55/$Y$398, 0)</f>
        <v>0</v>
      </c>
      <c r="AC55" s="16"/>
      <c r="AD55" s="3"/>
      <c r="AE55" s="3"/>
      <c r="AF55" s="1"/>
      <c r="AG55" s="1"/>
      <c r="AH55" s="1"/>
      <c r="AI55" s="1"/>
      <c r="AJ55" s="1"/>
      <c r="AK55" s="1"/>
      <c r="AL55" s="1"/>
    </row>
    <row r="56" spans="1:38" ht="15.75" customHeight="1" thickBot="1">
      <c r="A56" s="135"/>
      <c r="B56" s="135"/>
      <c r="C56" s="135"/>
      <c r="D56" s="135"/>
      <c r="E56" s="136" t="s">
        <v>35</v>
      </c>
      <c r="F56" s="137"/>
      <c r="G56" s="138"/>
      <c r="H56" s="139" t="s">
        <v>417</v>
      </c>
      <c r="I56" s="140"/>
      <c r="J56" s="140"/>
      <c r="K56" s="141"/>
      <c r="L56" s="142">
        <f t="shared" ref="L56:W56" si="97">L55*(1-(0.15-$H$3))</f>
        <v>0</v>
      </c>
      <c r="M56" s="142">
        <f t="shared" si="97"/>
        <v>0</v>
      </c>
      <c r="N56" s="142">
        <f t="shared" si="97"/>
        <v>0</v>
      </c>
      <c r="O56" s="142">
        <f t="shared" ref="O56:P56" si="98">O55*(1-(0.15-$H$3))</f>
        <v>0</v>
      </c>
      <c r="P56" s="142">
        <f t="shared" si="98"/>
        <v>0</v>
      </c>
      <c r="Q56" s="142">
        <f t="shared" ref="Q56" si="99">Q55*(1-(0.15-$H$3))</f>
        <v>0</v>
      </c>
      <c r="R56" s="142">
        <f t="shared" si="97"/>
        <v>0</v>
      </c>
      <c r="S56" s="142">
        <f t="shared" si="97"/>
        <v>0</v>
      </c>
      <c r="T56" s="142">
        <f t="shared" si="97"/>
        <v>0</v>
      </c>
      <c r="U56" s="142">
        <f t="shared" si="97"/>
        <v>0</v>
      </c>
      <c r="V56" s="142">
        <f t="shared" si="97"/>
        <v>0</v>
      </c>
      <c r="W56" s="142">
        <f t="shared" si="97"/>
        <v>0</v>
      </c>
      <c r="X56" s="141"/>
      <c r="Y56" s="142">
        <f>SUM(L56:W56)</f>
        <v>0</v>
      </c>
      <c r="Z56" s="141"/>
      <c r="AA56" s="143"/>
      <c r="AB56" s="144"/>
      <c r="AC56" s="145"/>
      <c r="AD56" s="146"/>
      <c r="AE56" s="146"/>
      <c r="AF56" s="147"/>
      <c r="AG56" s="147"/>
      <c r="AH56" s="147"/>
      <c r="AI56" s="147"/>
      <c r="AJ56" s="147"/>
      <c r="AK56" s="147"/>
      <c r="AL56" s="147"/>
    </row>
    <row r="57" spans="1:38" ht="15.75" customHeight="1" thickTop="1">
      <c r="A57" s="251" t="s">
        <v>36</v>
      </c>
      <c r="B57" s="240"/>
      <c r="C57" s="240"/>
      <c r="D57" s="240"/>
      <c r="E57" s="240" t="s">
        <v>38</v>
      </c>
      <c r="F57" s="240" t="s">
        <v>442</v>
      </c>
      <c r="G57" s="240"/>
      <c r="H57" s="240"/>
      <c r="I57" s="246" t="s">
        <v>787</v>
      </c>
      <c r="J57" s="246" t="s">
        <v>435</v>
      </c>
      <c r="K57" s="240"/>
      <c r="L57" s="6" t="str">
        <f t="shared" ref="L57:W57" si="100">CONCATENATE("Week ",L$2)</f>
        <v>Week 12</v>
      </c>
      <c r="M57" s="6" t="str">
        <f t="shared" si="100"/>
        <v>Week 11</v>
      </c>
      <c r="N57" s="6" t="str">
        <f t="shared" si="100"/>
        <v>Week 10</v>
      </c>
      <c r="O57" s="6" t="str">
        <f t="shared" si="100"/>
        <v>Week 9</v>
      </c>
      <c r="P57" s="6" t="str">
        <f t="shared" si="100"/>
        <v>Week 8</v>
      </c>
      <c r="Q57" s="6" t="str">
        <f t="shared" si="100"/>
        <v>Week 7</v>
      </c>
      <c r="R57" s="6" t="str">
        <f t="shared" si="100"/>
        <v>Week 6</v>
      </c>
      <c r="S57" s="6" t="str">
        <f t="shared" si="100"/>
        <v>Week 5</v>
      </c>
      <c r="T57" s="6" t="str">
        <f t="shared" si="100"/>
        <v>Week 4</v>
      </c>
      <c r="U57" s="6" t="str">
        <f t="shared" si="100"/>
        <v>Week 3</v>
      </c>
      <c r="V57" s="6" t="str">
        <f t="shared" si="100"/>
        <v>Week 2</v>
      </c>
      <c r="W57" s="6" t="str">
        <f t="shared" si="100"/>
        <v>Week 1</v>
      </c>
      <c r="X57" s="240"/>
      <c r="Y57" s="240" t="s">
        <v>11</v>
      </c>
      <c r="Z57" s="240"/>
      <c r="AA57" s="240" t="s">
        <v>37</v>
      </c>
      <c r="AB57" s="242" t="s">
        <v>13</v>
      </c>
      <c r="AC57" s="143"/>
      <c r="AD57" s="148"/>
      <c r="AE57" s="148"/>
      <c r="AF57" s="149"/>
      <c r="AG57" s="149"/>
      <c r="AH57" s="149"/>
      <c r="AI57" s="149"/>
      <c r="AJ57" s="149"/>
      <c r="AK57" s="149"/>
      <c r="AL57" s="149"/>
    </row>
    <row r="58" spans="1:38" ht="15.75" customHeight="1" thickBot="1">
      <c r="A58" s="252"/>
      <c r="B58" s="241"/>
      <c r="C58" s="253"/>
      <c r="D58" s="253"/>
      <c r="E58" s="241"/>
      <c r="F58" s="253"/>
      <c r="G58" s="253"/>
      <c r="H58" s="241"/>
      <c r="I58" s="247"/>
      <c r="J58" s="247"/>
      <c r="K58" s="241"/>
      <c r="L58" s="10" t="str">
        <f t="shared" ref="L58:W58" si="101">TEXT(L$3, "mmm d") &amp; " - " &amp; TEXT(L$4, "mmm d")</f>
        <v>Aug 11 - Aug 17</v>
      </c>
      <c r="M58" s="10" t="str">
        <f t="shared" si="101"/>
        <v>Aug 18 - Aug 24</v>
      </c>
      <c r="N58" s="10" t="str">
        <f t="shared" si="101"/>
        <v>Aug 25 - Aug 31</v>
      </c>
      <c r="O58" s="10" t="str">
        <f t="shared" si="101"/>
        <v>Sep 1 - Sep 7</v>
      </c>
      <c r="P58" s="10" t="str">
        <f t="shared" si="101"/>
        <v>Sep 8 - Sep 14</v>
      </c>
      <c r="Q58" s="10" t="str">
        <f t="shared" si="101"/>
        <v>Sep 15 - Sep 21</v>
      </c>
      <c r="R58" s="10" t="str">
        <f t="shared" si="101"/>
        <v>Sep 22 - Sep 28</v>
      </c>
      <c r="S58" s="10" t="str">
        <f t="shared" si="101"/>
        <v>Sep 29 - Oct 5</v>
      </c>
      <c r="T58" s="10" t="str">
        <f t="shared" si="101"/>
        <v>Oct 6 - Oct 12</v>
      </c>
      <c r="U58" s="10" t="str">
        <f t="shared" si="101"/>
        <v>Oct 13 - Oct 19</v>
      </c>
      <c r="V58" s="10" t="str">
        <f t="shared" si="101"/>
        <v>Oct 20 - Oct 26</v>
      </c>
      <c r="W58" s="10" t="str">
        <f t="shared" si="101"/>
        <v>Oct 27 - Nov 3</v>
      </c>
      <c r="X58" s="241"/>
      <c r="Y58" s="241"/>
      <c r="Z58" s="241"/>
      <c r="AA58" s="241"/>
      <c r="AB58" s="243"/>
      <c r="AC58" s="143"/>
      <c r="AD58" s="148"/>
      <c r="AE58" s="150" t="s">
        <v>438</v>
      </c>
      <c r="AF58" s="150" t="s">
        <v>439</v>
      </c>
      <c r="AG58" s="151" t="s">
        <v>749</v>
      </c>
      <c r="AH58" s="150" t="s">
        <v>440</v>
      </c>
      <c r="AI58" s="150" t="s">
        <v>2</v>
      </c>
      <c r="AJ58" s="150" t="s">
        <v>15</v>
      </c>
      <c r="AK58" s="149"/>
      <c r="AL58" s="149"/>
    </row>
    <row r="59" spans="1:38" ht="15.75" customHeight="1" thickTop="1">
      <c r="A59" s="17"/>
      <c r="B59" s="17"/>
      <c r="C59" s="17"/>
      <c r="D59" s="17"/>
      <c r="E59" s="14"/>
      <c r="F59" s="14"/>
      <c r="G59" s="14"/>
      <c r="H59" s="14" t="s">
        <v>57</v>
      </c>
      <c r="I59" s="233"/>
      <c r="J59" s="254" t="s">
        <v>436</v>
      </c>
      <c r="K59" s="152"/>
      <c r="L59" s="88">
        <f>(L61*1000)/$A60</f>
        <v>0</v>
      </c>
      <c r="M59" s="88">
        <f t="shared" ref="M59:W59" si="102">(M61*1000)/$A60</f>
        <v>0</v>
      </c>
      <c r="N59" s="88">
        <f t="shared" si="102"/>
        <v>0</v>
      </c>
      <c r="O59" s="88">
        <f t="shared" ref="O59:P59" si="103">(O61*1000)/$A60</f>
        <v>0</v>
      </c>
      <c r="P59" s="88">
        <f t="shared" si="103"/>
        <v>0</v>
      </c>
      <c r="Q59" s="88">
        <f t="shared" ref="Q59" si="104">(Q61*1000)/$A60</f>
        <v>0</v>
      </c>
      <c r="R59" s="88">
        <f t="shared" si="102"/>
        <v>0</v>
      </c>
      <c r="S59" s="88">
        <f t="shared" si="102"/>
        <v>0</v>
      </c>
      <c r="T59" s="88">
        <f t="shared" si="102"/>
        <v>0</v>
      </c>
      <c r="U59" s="88">
        <f t="shared" si="102"/>
        <v>0</v>
      </c>
      <c r="V59" s="88">
        <f t="shared" si="102"/>
        <v>0</v>
      </c>
      <c r="W59" s="88">
        <f t="shared" si="102"/>
        <v>0</v>
      </c>
      <c r="X59" s="92"/>
      <c r="Y59" s="88">
        <f t="shared" ref="Y59:Y64" si="105">SUM(L59:W59)</f>
        <v>0</v>
      </c>
      <c r="Z59" s="92"/>
      <c r="AA59" s="244">
        <f>IFERROR($Y61/$Y$68, 0)</f>
        <v>0</v>
      </c>
      <c r="AB59" s="245">
        <f>IFERROR($Y61/$Y$398, 0)</f>
        <v>0</v>
      </c>
      <c r="AC59" s="145"/>
      <c r="AD59" s="146"/>
      <c r="AE59" s="146"/>
      <c r="AF59" s="147"/>
      <c r="AG59" s="147"/>
      <c r="AH59" s="147"/>
      <c r="AI59" s="147"/>
      <c r="AJ59" s="147"/>
      <c r="AK59" s="147"/>
      <c r="AL59" s="147"/>
    </row>
    <row r="60" spans="1:38" ht="14.4">
      <c r="A60" s="17">
        <f>VLOOKUP($E60,'Digital Targeting'!$B$524:$E$892,4,FALSE)</f>
        <v>47.06</v>
      </c>
      <c r="B60" s="17"/>
      <c r="C60" s="95"/>
      <c r="D60" s="95"/>
      <c r="E60" s="14" t="s">
        <v>441</v>
      </c>
      <c r="F60" s="99"/>
      <c r="G60" s="88" t="e">
        <f>VLOOKUP($F60,'Digital Targeting'!$A$21:$G$100,5,FALSE)*I60</f>
        <v>#N/A</v>
      </c>
      <c r="H60" s="14" t="s">
        <v>420</v>
      </c>
      <c r="I60" s="235" t="e">
        <f>VLOOKUP(F60,'Digital Targeting'!$A$21:$M$214,7,FALSE)</f>
        <v>#N/A</v>
      </c>
      <c r="J60" s="237"/>
      <c r="K60" s="152"/>
      <c r="L60" s="89">
        <f>IFERROR(L59/$G60,0)</f>
        <v>0</v>
      </c>
      <c r="M60" s="89">
        <f t="shared" ref="M60:W60" si="106">IFERROR(M59/$G60,0)</f>
        <v>0</v>
      </c>
      <c r="N60" s="89">
        <f t="shared" si="106"/>
        <v>0</v>
      </c>
      <c r="O60" s="89">
        <f t="shared" si="106"/>
        <v>0</v>
      </c>
      <c r="P60" s="89">
        <f t="shared" si="106"/>
        <v>0</v>
      </c>
      <c r="Q60" s="89">
        <f t="shared" si="106"/>
        <v>0</v>
      </c>
      <c r="R60" s="89">
        <f t="shared" si="106"/>
        <v>0</v>
      </c>
      <c r="S60" s="89">
        <f t="shared" si="106"/>
        <v>0</v>
      </c>
      <c r="T60" s="89">
        <f t="shared" si="106"/>
        <v>0</v>
      </c>
      <c r="U60" s="89">
        <f t="shared" si="106"/>
        <v>0</v>
      </c>
      <c r="V60" s="89">
        <f t="shared" si="106"/>
        <v>0</v>
      </c>
      <c r="W60" s="89">
        <f t="shared" si="106"/>
        <v>0</v>
      </c>
      <c r="X60" s="92"/>
      <c r="Y60" s="90">
        <f t="shared" si="105"/>
        <v>0</v>
      </c>
      <c r="Z60" s="92"/>
      <c r="AA60" s="238"/>
      <c r="AB60" s="239"/>
      <c r="AC60" s="145"/>
      <c r="AD60" s="146"/>
      <c r="AE60" s="153" t="e">
        <f>G60/1000</f>
        <v>#N/A</v>
      </c>
      <c r="AF60" s="153">
        <v>7</v>
      </c>
      <c r="AG60" s="153" t="e">
        <f>AF60*AE60</f>
        <v>#N/A</v>
      </c>
      <c r="AH60" s="154">
        <f>$A60</f>
        <v>47.06</v>
      </c>
      <c r="AI60" s="155">
        <f>($F$2-$F$3+1)/7</f>
        <v>12</v>
      </c>
      <c r="AJ60" s="154" t="e">
        <f>(AG60*AH60)/AI60</f>
        <v>#N/A</v>
      </c>
      <c r="AK60" s="147"/>
      <c r="AL60" s="147"/>
    </row>
    <row r="61" spans="1:38" ht="15.75" customHeight="1">
      <c r="F61" s="156"/>
      <c r="G61" s="22"/>
      <c r="H61" s="14" t="s">
        <v>15</v>
      </c>
      <c r="I61" s="233"/>
      <c r="J61" s="237"/>
      <c r="K61" s="152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92"/>
      <c r="Y61" s="20">
        <f t="shared" si="105"/>
        <v>0</v>
      </c>
      <c r="Z61" s="92"/>
      <c r="AA61" s="238"/>
      <c r="AB61" s="239"/>
      <c r="AC61" s="145"/>
      <c r="AD61" s="146"/>
      <c r="AE61" s="146"/>
      <c r="AF61" s="147"/>
      <c r="AG61" s="147"/>
      <c r="AH61" s="147"/>
      <c r="AI61" s="147"/>
      <c r="AJ61" s="147"/>
      <c r="AK61" s="147"/>
      <c r="AL61" s="147"/>
    </row>
    <row r="62" spans="1:38" ht="15.75" customHeight="1">
      <c r="A62" s="17"/>
      <c r="B62" s="17"/>
      <c r="C62" s="17"/>
      <c r="D62" s="17"/>
      <c r="E62" s="14"/>
      <c r="F62" s="100"/>
      <c r="G62" s="14"/>
      <c r="H62" s="14" t="s">
        <v>57</v>
      </c>
      <c r="I62" s="233"/>
      <c r="J62" s="237" t="s">
        <v>436</v>
      </c>
      <c r="K62" s="152"/>
      <c r="L62" s="88">
        <f>(L64*1000)/$A63</f>
        <v>0</v>
      </c>
      <c r="M62" s="88">
        <f t="shared" ref="M62:W62" si="107">(M64*1000)/$A63</f>
        <v>0</v>
      </c>
      <c r="N62" s="88">
        <f t="shared" si="107"/>
        <v>0</v>
      </c>
      <c r="O62" s="88">
        <f t="shared" ref="O62:P62" si="108">(O64*1000)/$A63</f>
        <v>0</v>
      </c>
      <c r="P62" s="88">
        <f t="shared" si="108"/>
        <v>0</v>
      </c>
      <c r="Q62" s="88">
        <f t="shared" ref="Q62" si="109">(Q64*1000)/$A63</f>
        <v>0</v>
      </c>
      <c r="R62" s="88">
        <f t="shared" si="107"/>
        <v>0</v>
      </c>
      <c r="S62" s="88">
        <f t="shared" si="107"/>
        <v>0</v>
      </c>
      <c r="T62" s="88">
        <f t="shared" si="107"/>
        <v>0</v>
      </c>
      <c r="U62" s="88">
        <f t="shared" si="107"/>
        <v>0</v>
      </c>
      <c r="V62" s="88">
        <f t="shared" si="107"/>
        <v>0</v>
      </c>
      <c r="W62" s="88">
        <f t="shared" si="107"/>
        <v>0</v>
      </c>
      <c r="X62" s="92"/>
      <c r="Y62" s="88">
        <f t="shared" si="105"/>
        <v>0</v>
      </c>
      <c r="Z62" s="92"/>
      <c r="AA62" s="238">
        <f>IFERROR($Y64/$Y$68, 0)</f>
        <v>0</v>
      </c>
      <c r="AB62" s="239">
        <f>IFERROR($Y64/$Y$398, 0)</f>
        <v>0</v>
      </c>
      <c r="AC62" s="145"/>
      <c r="AD62" s="146"/>
      <c r="AE62" s="146"/>
      <c r="AF62" s="147"/>
      <c r="AG62" s="147"/>
      <c r="AH62" s="147"/>
      <c r="AI62" s="147"/>
      <c r="AJ62" s="147"/>
      <c r="AK62" s="147"/>
      <c r="AL62" s="147"/>
    </row>
    <row r="63" spans="1:38" ht="15.75" customHeight="1">
      <c r="A63" s="17">
        <f>VLOOKUP($E63,'Digital Targeting'!$B$524:$E$892,4,FALSE)</f>
        <v>47.06</v>
      </c>
      <c r="B63" s="17"/>
      <c r="C63" s="95"/>
      <c r="D63" s="95"/>
      <c r="E63" s="14" t="s">
        <v>441</v>
      </c>
      <c r="F63" s="99"/>
      <c r="G63" s="88" t="e">
        <f>VLOOKUP($F63,'Digital Targeting'!$A$21:$G$100,5,FALSE)*I63</f>
        <v>#N/A</v>
      </c>
      <c r="H63" s="14" t="s">
        <v>420</v>
      </c>
      <c r="I63" s="235" t="e">
        <f>VLOOKUP(F63,'Digital Targeting'!$A$21:$M$214,7,FALSE)</f>
        <v>#N/A</v>
      </c>
      <c r="J63" s="237"/>
      <c r="K63" s="92"/>
      <c r="L63" s="89">
        <f>IFERROR(L62/$G63,0)</f>
        <v>0</v>
      </c>
      <c r="M63" s="89">
        <f t="shared" ref="M63" si="110">IFERROR(M62/$G63,0)</f>
        <v>0</v>
      </c>
      <c r="N63" s="89">
        <f t="shared" ref="N63" si="111">IFERROR(N62/$G63,0)</f>
        <v>0</v>
      </c>
      <c r="O63" s="89">
        <f t="shared" ref="O63" si="112">IFERROR(O62/$G63,0)</f>
        <v>0</v>
      </c>
      <c r="P63" s="89">
        <f t="shared" ref="P63" si="113">IFERROR(P62/$G63,0)</f>
        <v>0</v>
      </c>
      <c r="Q63" s="89">
        <f t="shared" ref="Q63" si="114">IFERROR(Q62/$G63,0)</f>
        <v>0</v>
      </c>
      <c r="R63" s="89">
        <f t="shared" ref="R63" si="115">IFERROR(R62/$G63,0)</f>
        <v>0</v>
      </c>
      <c r="S63" s="89">
        <f t="shared" ref="S63" si="116">IFERROR(S62/$G63,0)</f>
        <v>0</v>
      </c>
      <c r="T63" s="89">
        <f t="shared" ref="T63" si="117">IFERROR(T62/$G63,0)</f>
        <v>0</v>
      </c>
      <c r="U63" s="89">
        <f t="shared" ref="U63" si="118">IFERROR(U62/$G63,0)</f>
        <v>0</v>
      </c>
      <c r="V63" s="89">
        <f t="shared" ref="V63" si="119">IFERROR(V62/$G63,0)</f>
        <v>0</v>
      </c>
      <c r="W63" s="89">
        <f t="shared" ref="W63" si="120">IFERROR(W62/$G63,0)</f>
        <v>0</v>
      </c>
      <c r="X63" s="92"/>
      <c r="Y63" s="90">
        <f t="shared" si="105"/>
        <v>0</v>
      </c>
      <c r="Z63" s="92"/>
      <c r="AA63" s="238"/>
      <c r="AB63" s="239"/>
      <c r="AC63" s="145"/>
      <c r="AD63" s="146"/>
      <c r="AE63" s="153" t="e">
        <f>G63/1000</f>
        <v>#N/A</v>
      </c>
      <c r="AF63" s="153">
        <v>7</v>
      </c>
      <c r="AG63" s="153" t="e">
        <f>AF63*AE63</f>
        <v>#N/A</v>
      </c>
      <c r="AH63" s="154">
        <f>$A63</f>
        <v>47.06</v>
      </c>
      <c r="AI63" s="155">
        <f>($F$2-$F$3+1)/7</f>
        <v>12</v>
      </c>
      <c r="AJ63" s="154" t="e">
        <f>(AG63*AH63)/AI63</f>
        <v>#N/A</v>
      </c>
      <c r="AK63" s="147"/>
      <c r="AL63" s="147"/>
    </row>
    <row r="64" spans="1:38" ht="15.75" customHeight="1">
      <c r="F64" s="94"/>
      <c r="G64" s="94"/>
      <c r="H64" s="14" t="s">
        <v>15</v>
      </c>
      <c r="I64" s="233"/>
      <c r="J64" s="237"/>
      <c r="K64" s="92"/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92"/>
      <c r="Y64" s="20">
        <f t="shared" si="105"/>
        <v>0</v>
      </c>
      <c r="Z64" s="92"/>
      <c r="AA64" s="238"/>
      <c r="AB64" s="239"/>
      <c r="AC64" s="145"/>
      <c r="AD64" s="146"/>
      <c r="AE64" s="146"/>
      <c r="AF64" s="147"/>
      <c r="AG64" s="147"/>
      <c r="AH64" s="147"/>
      <c r="AI64" s="147"/>
      <c r="AJ64" s="147"/>
      <c r="AK64" s="147"/>
      <c r="AL64" s="147"/>
    </row>
    <row r="65" spans="1:38" ht="15.75" customHeight="1">
      <c r="F65" s="94"/>
      <c r="G65" s="94"/>
      <c r="H65" s="14"/>
      <c r="I65" s="126"/>
      <c r="J65" s="126"/>
      <c r="K65" s="92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92"/>
      <c r="Y65" s="20"/>
      <c r="Z65" s="92"/>
      <c r="AA65" s="175"/>
      <c r="AB65" s="125"/>
      <c r="AC65" s="145"/>
      <c r="AD65" s="146"/>
      <c r="AE65" s="146"/>
      <c r="AF65" s="147"/>
      <c r="AG65" s="147"/>
      <c r="AH65" s="147"/>
      <c r="AI65" s="147"/>
      <c r="AJ65" s="147"/>
      <c r="AK65" s="147"/>
      <c r="AL65" s="147"/>
    </row>
    <row r="66" spans="1:38" ht="15.75" customHeight="1">
      <c r="A66" s="210">
        <v>0.55000000000000004</v>
      </c>
      <c r="E66" s="106" t="s">
        <v>429</v>
      </c>
      <c r="F66" s="94"/>
      <c r="G66" s="94"/>
      <c r="H66" s="211" t="s">
        <v>748</v>
      </c>
      <c r="I66" s="126"/>
      <c r="J66" s="126"/>
      <c r="K66" s="92"/>
      <c r="L66" s="212">
        <f t="shared" ref="L66:W66" si="121">(SUMIFS(L$58:L$70, $H$58:$H$70, "IMPs", $J$58:$J$70, "Yes") / 1000 * 0.55)</f>
        <v>0</v>
      </c>
      <c r="M66" s="212">
        <f t="shared" si="121"/>
        <v>0</v>
      </c>
      <c r="N66" s="212">
        <f t="shared" si="121"/>
        <v>0</v>
      </c>
      <c r="O66" s="212">
        <f t="shared" si="121"/>
        <v>0</v>
      </c>
      <c r="P66" s="212">
        <f t="shared" si="121"/>
        <v>0</v>
      </c>
      <c r="Q66" s="212">
        <f t="shared" si="121"/>
        <v>0</v>
      </c>
      <c r="R66" s="212">
        <f t="shared" si="121"/>
        <v>0</v>
      </c>
      <c r="S66" s="212">
        <f t="shared" si="121"/>
        <v>0</v>
      </c>
      <c r="T66" s="212">
        <f t="shared" si="121"/>
        <v>0</v>
      </c>
      <c r="U66" s="212">
        <f t="shared" si="121"/>
        <v>0</v>
      </c>
      <c r="V66" s="212">
        <f t="shared" si="121"/>
        <v>0</v>
      </c>
      <c r="W66" s="212">
        <f t="shared" si="121"/>
        <v>0</v>
      </c>
      <c r="X66" s="213"/>
      <c r="Y66" s="214">
        <f>SUM(L66:W66)</f>
        <v>0</v>
      </c>
      <c r="Z66" s="92"/>
      <c r="AA66" s="215">
        <f>IFERROR(Y66/Y68,0)</f>
        <v>0</v>
      </c>
      <c r="AB66" s="216">
        <f>IFERROR(Y66/Y$398,0)</f>
        <v>0</v>
      </c>
      <c r="AC66" s="145"/>
      <c r="AD66" s="146"/>
      <c r="AE66" s="146"/>
      <c r="AF66" s="147"/>
      <c r="AG66" s="147"/>
      <c r="AH66" s="147"/>
      <c r="AI66" s="147"/>
      <c r="AJ66" s="147"/>
      <c r="AK66" s="147"/>
      <c r="AL66" s="147"/>
    </row>
    <row r="67" spans="1:38" ht="15.75" customHeight="1">
      <c r="A67" s="17"/>
      <c r="B67" s="17"/>
      <c r="C67" s="17"/>
      <c r="D67" s="17"/>
      <c r="E67" s="14"/>
      <c r="F67" s="14"/>
      <c r="G67" s="14"/>
      <c r="H67" s="14"/>
      <c r="I67" s="126"/>
      <c r="J67" s="126"/>
      <c r="K67" s="92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92"/>
      <c r="Y67" s="20"/>
      <c r="Z67" s="92"/>
      <c r="AA67" s="23"/>
      <c r="AB67" s="24"/>
      <c r="AC67" s="145"/>
      <c r="AD67" s="146"/>
      <c r="AE67" s="146"/>
      <c r="AF67" s="147"/>
      <c r="AG67" s="147"/>
      <c r="AH67" s="147"/>
      <c r="AI67" s="147"/>
      <c r="AJ67" s="147"/>
      <c r="AK67" s="147"/>
      <c r="AL67" s="147"/>
    </row>
    <row r="68" spans="1:38" ht="15.75" customHeight="1">
      <c r="A68" s="17"/>
      <c r="B68" s="17"/>
      <c r="C68" s="17"/>
      <c r="D68" s="17"/>
      <c r="E68" s="25" t="s">
        <v>109</v>
      </c>
      <c r="F68" s="18"/>
      <c r="G68" s="22"/>
      <c r="H68" s="14" t="s">
        <v>11</v>
      </c>
      <c r="I68" s="126"/>
      <c r="J68" s="126"/>
      <c r="K68" s="92"/>
      <c r="L68" s="26">
        <f>SUMIF($H58:$H70,"$$$",L$58:L$70)+L66</f>
        <v>0</v>
      </c>
      <c r="M68" s="26">
        <f t="shared" ref="M68:W68" si="122">SUMIF($H58:$H70,"$$$",M$58:M$70)+M66</f>
        <v>0</v>
      </c>
      <c r="N68" s="26">
        <f t="shared" si="122"/>
        <v>0</v>
      </c>
      <c r="O68" s="26">
        <f t="shared" si="122"/>
        <v>0</v>
      </c>
      <c r="P68" s="26">
        <f t="shared" si="122"/>
        <v>0</v>
      </c>
      <c r="Q68" s="26">
        <f t="shared" si="122"/>
        <v>0</v>
      </c>
      <c r="R68" s="26">
        <f t="shared" si="122"/>
        <v>0</v>
      </c>
      <c r="S68" s="26">
        <f t="shared" si="122"/>
        <v>0</v>
      </c>
      <c r="T68" s="26">
        <f t="shared" si="122"/>
        <v>0</v>
      </c>
      <c r="U68" s="26">
        <f t="shared" si="122"/>
        <v>0</v>
      </c>
      <c r="V68" s="26">
        <f t="shared" si="122"/>
        <v>0</v>
      </c>
      <c r="W68" s="26">
        <f t="shared" si="122"/>
        <v>0</v>
      </c>
      <c r="X68" s="92"/>
      <c r="Y68" s="26">
        <f>SUM(L68:W68)</f>
        <v>0</v>
      </c>
      <c r="Z68" s="92"/>
      <c r="AA68" s="28">
        <f>IFERROR($Y68/$Y$68, 0)</f>
        <v>0</v>
      </c>
      <c r="AB68" s="29">
        <f>IFERROR($Y68/$Y$398, 0)</f>
        <v>0</v>
      </c>
      <c r="AC68" s="145"/>
      <c r="AD68" s="146"/>
      <c r="AE68" s="146"/>
      <c r="AF68" s="147"/>
      <c r="AG68" s="147"/>
      <c r="AH68" s="147"/>
      <c r="AI68" s="147"/>
      <c r="AJ68" s="147"/>
      <c r="AK68" s="147"/>
      <c r="AL68" s="147"/>
    </row>
    <row r="69" spans="1:38" ht="15.75" customHeight="1" thickBot="1">
      <c r="A69" s="135"/>
      <c r="B69" s="135"/>
      <c r="C69" s="135"/>
      <c r="D69" s="135"/>
      <c r="E69" s="136" t="s">
        <v>110</v>
      </c>
      <c r="F69" s="137"/>
      <c r="G69" s="138"/>
      <c r="H69" s="139" t="s">
        <v>417</v>
      </c>
      <c r="I69" s="140"/>
      <c r="J69" s="140"/>
      <c r="K69" s="141"/>
      <c r="L69" s="142">
        <f t="shared" ref="L69:W69" si="123">L68*(1-(0.15-$H$3))</f>
        <v>0</v>
      </c>
      <c r="M69" s="142">
        <f t="shared" si="123"/>
        <v>0</v>
      </c>
      <c r="N69" s="142">
        <f t="shared" si="123"/>
        <v>0</v>
      </c>
      <c r="O69" s="142">
        <f t="shared" ref="O69:P69" si="124">O68*(1-(0.15-$H$3))</f>
        <v>0</v>
      </c>
      <c r="P69" s="142">
        <f t="shared" si="124"/>
        <v>0</v>
      </c>
      <c r="Q69" s="142">
        <f t="shared" ref="Q69" si="125">Q68*(1-(0.15-$H$3))</f>
        <v>0</v>
      </c>
      <c r="R69" s="142">
        <f t="shared" si="123"/>
        <v>0</v>
      </c>
      <c r="S69" s="142">
        <f t="shared" si="123"/>
        <v>0</v>
      </c>
      <c r="T69" s="142">
        <f t="shared" si="123"/>
        <v>0</v>
      </c>
      <c r="U69" s="142">
        <f t="shared" si="123"/>
        <v>0</v>
      </c>
      <c r="V69" s="142">
        <f t="shared" si="123"/>
        <v>0</v>
      </c>
      <c r="W69" s="142">
        <f t="shared" si="123"/>
        <v>0</v>
      </c>
      <c r="X69" s="141"/>
      <c r="Y69" s="142">
        <f>SUM(L69:W69)</f>
        <v>0</v>
      </c>
      <c r="Z69" s="141"/>
      <c r="AA69" s="143"/>
      <c r="AB69" s="144"/>
      <c r="AC69" s="145"/>
      <c r="AD69" s="146"/>
      <c r="AE69" s="146"/>
      <c r="AF69" s="147"/>
      <c r="AG69" s="147"/>
      <c r="AH69" s="147"/>
      <c r="AI69" s="147"/>
      <c r="AJ69" s="147"/>
      <c r="AK69" s="147"/>
      <c r="AL69" s="147"/>
    </row>
    <row r="70" spans="1:38" ht="15.75" customHeight="1" thickTop="1">
      <c r="A70" s="251" t="s">
        <v>36</v>
      </c>
      <c r="B70" s="240"/>
      <c r="C70" s="240"/>
      <c r="D70" s="240"/>
      <c r="E70" s="240" t="s">
        <v>421</v>
      </c>
      <c r="F70" s="240" t="s">
        <v>442</v>
      </c>
      <c r="G70" s="240"/>
      <c r="H70" s="240"/>
      <c r="I70" s="246"/>
      <c r="J70" s="246" t="s">
        <v>435</v>
      </c>
      <c r="K70" s="240"/>
      <c r="L70" s="6" t="str">
        <f t="shared" ref="L70:W70" si="126">CONCATENATE("Week ",L$2)</f>
        <v>Week 12</v>
      </c>
      <c r="M70" s="6" t="str">
        <f t="shared" si="126"/>
        <v>Week 11</v>
      </c>
      <c r="N70" s="6" t="str">
        <f t="shared" si="126"/>
        <v>Week 10</v>
      </c>
      <c r="O70" s="6" t="str">
        <f t="shared" si="126"/>
        <v>Week 9</v>
      </c>
      <c r="P70" s="6" t="str">
        <f t="shared" si="126"/>
        <v>Week 8</v>
      </c>
      <c r="Q70" s="6" t="str">
        <f t="shared" si="126"/>
        <v>Week 7</v>
      </c>
      <c r="R70" s="6" t="str">
        <f t="shared" si="126"/>
        <v>Week 6</v>
      </c>
      <c r="S70" s="6" t="str">
        <f t="shared" si="126"/>
        <v>Week 5</v>
      </c>
      <c r="T70" s="6" t="str">
        <f t="shared" si="126"/>
        <v>Week 4</v>
      </c>
      <c r="U70" s="6" t="str">
        <f t="shared" si="126"/>
        <v>Week 3</v>
      </c>
      <c r="V70" s="6" t="str">
        <f t="shared" si="126"/>
        <v>Week 2</v>
      </c>
      <c r="W70" s="6" t="str">
        <f t="shared" si="126"/>
        <v>Week 1</v>
      </c>
      <c r="X70" s="240"/>
      <c r="Y70" s="240" t="s">
        <v>11</v>
      </c>
      <c r="Z70" s="240"/>
      <c r="AA70" s="240" t="s">
        <v>111</v>
      </c>
      <c r="AB70" s="242" t="s">
        <v>13</v>
      </c>
      <c r="AC70" s="143"/>
      <c r="AD70" s="148"/>
      <c r="AE70" s="148"/>
      <c r="AF70" s="149"/>
      <c r="AG70" s="149"/>
      <c r="AH70" s="149"/>
      <c r="AI70" s="149"/>
      <c r="AJ70" s="149"/>
      <c r="AK70" s="149"/>
      <c r="AL70" s="149"/>
    </row>
    <row r="71" spans="1:38" ht="15.75" customHeight="1" thickBot="1">
      <c r="A71" s="252"/>
      <c r="B71" s="241"/>
      <c r="C71" s="253"/>
      <c r="D71" s="253"/>
      <c r="E71" s="241"/>
      <c r="F71" s="253"/>
      <c r="G71" s="253"/>
      <c r="H71" s="241"/>
      <c r="I71" s="247"/>
      <c r="J71" s="247"/>
      <c r="K71" s="241"/>
      <c r="L71" s="10" t="str">
        <f t="shared" ref="L71:W71" si="127">TEXT(L$3, "mmm d") &amp; " - " &amp; TEXT(L$4, "mmm d")</f>
        <v>Aug 11 - Aug 17</v>
      </c>
      <c r="M71" s="10" t="str">
        <f t="shared" si="127"/>
        <v>Aug 18 - Aug 24</v>
      </c>
      <c r="N71" s="10" t="str">
        <f t="shared" si="127"/>
        <v>Aug 25 - Aug 31</v>
      </c>
      <c r="O71" s="10" t="str">
        <f t="shared" si="127"/>
        <v>Sep 1 - Sep 7</v>
      </c>
      <c r="P71" s="10" t="str">
        <f t="shared" si="127"/>
        <v>Sep 8 - Sep 14</v>
      </c>
      <c r="Q71" s="10" t="str">
        <f t="shared" si="127"/>
        <v>Sep 15 - Sep 21</v>
      </c>
      <c r="R71" s="10" t="str">
        <f t="shared" si="127"/>
        <v>Sep 22 - Sep 28</v>
      </c>
      <c r="S71" s="10" t="str">
        <f t="shared" si="127"/>
        <v>Sep 29 - Oct 5</v>
      </c>
      <c r="T71" s="10" t="str">
        <f t="shared" si="127"/>
        <v>Oct 6 - Oct 12</v>
      </c>
      <c r="U71" s="10" t="str">
        <f t="shared" si="127"/>
        <v>Oct 13 - Oct 19</v>
      </c>
      <c r="V71" s="10" t="str">
        <f t="shared" si="127"/>
        <v>Oct 20 - Oct 26</v>
      </c>
      <c r="W71" s="10" t="str">
        <f t="shared" si="127"/>
        <v>Oct 27 - Nov 3</v>
      </c>
      <c r="X71" s="241"/>
      <c r="Y71" s="241"/>
      <c r="Z71" s="241"/>
      <c r="AA71" s="241"/>
      <c r="AB71" s="243"/>
      <c r="AC71" s="143"/>
      <c r="AD71" s="148"/>
      <c r="AE71" s="150" t="s">
        <v>438</v>
      </c>
      <c r="AF71" s="150" t="s">
        <v>439</v>
      </c>
      <c r="AG71" s="151" t="s">
        <v>749</v>
      </c>
      <c r="AH71" s="150" t="s">
        <v>440</v>
      </c>
      <c r="AI71" s="150" t="s">
        <v>2</v>
      </c>
      <c r="AJ71" s="150" t="s">
        <v>15</v>
      </c>
      <c r="AK71" s="149"/>
      <c r="AL71" s="149"/>
    </row>
    <row r="72" spans="1:38" ht="15.75" customHeight="1" thickTop="1">
      <c r="A72" s="17"/>
      <c r="B72" s="17"/>
      <c r="C72" s="17"/>
      <c r="D72" s="17"/>
      <c r="E72" s="14"/>
      <c r="F72" s="14"/>
      <c r="G72" s="14"/>
      <c r="H72" s="14" t="s">
        <v>57</v>
      </c>
      <c r="I72" s="233"/>
      <c r="J72" s="237" t="s">
        <v>436</v>
      </c>
      <c r="K72" s="152"/>
      <c r="L72" s="88">
        <f>(L74*1000)/$A73</f>
        <v>0</v>
      </c>
      <c r="M72" s="88">
        <f t="shared" ref="M72:W72" si="128">(M74*1000)/$A73</f>
        <v>0</v>
      </c>
      <c r="N72" s="88">
        <f t="shared" si="128"/>
        <v>0</v>
      </c>
      <c r="O72" s="88">
        <f t="shared" ref="O72:P72" si="129">(O74*1000)/$A73</f>
        <v>0</v>
      </c>
      <c r="P72" s="88">
        <f t="shared" si="129"/>
        <v>0</v>
      </c>
      <c r="Q72" s="88">
        <f t="shared" ref="Q72" si="130">(Q74*1000)/$A73</f>
        <v>0</v>
      </c>
      <c r="R72" s="88">
        <f t="shared" si="128"/>
        <v>0</v>
      </c>
      <c r="S72" s="88">
        <f t="shared" si="128"/>
        <v>0</v>
      </c>
      <c r="T72" s="88">
        <f t="shared" si="128"/>
        <v>0</v>
      </c>
      <c r="U72" s="88">
        <f t="shared" si="128"/>
        <v>0</v>
      </c>
      <c r="V72" s="88">
        <f t="shared" si="128"/>
        <v>0</v>
      </c>
      <c r="W72" s="88">
        <f t="shared" si="128"/>
        <v>0</v>
      </c>
      <c r="X72" s="92"/>
      <c r="Y72" s="88">
        <f t="shared" ref="Y72:Y83" si="131">SUM(L72:W72)</f>
        <v>0</v>
      </c>
      <c r="Z72" s="92"/>
      <c r="AA72" s="244">
        <f>IFERROR($Y74/$Y$87, 0)</f>
        <v>0</v>
      </c>
      <c r="AB72" s="245">
        <f>IFERROR($Y74/$Y$398, 0)</f>
        <v>0</v>
      </c>
      <c r="AC72" s="145"/>
      <c r="AD72" s="146"/>
      <c r="AE72" s="146"/>
      <c r="AF72" s="147"/>
      <c r="AG72" s="147"/>
      <c r="AH72" s="147"/>
      <c r="AI72" s="147"/>
      <c r="AJ72" s="147"/>
      <c r="AK72" s="147"/>
      <c r="AL72" s="147"/>
    </row>
    <row r="73" spans="1:38" ht="15.75" customHeight="1">
      <c r="A73" s="17">
        <f>VLOOKUP($E73,'Digital Targeting'!$B$524:$E$892,4,FALSE)</f>
        <v>14.71</v>
      </c>
      <c r="B73" s="17"/>
      <c r="C73" s="95"/>
      <c r="D73" s="95"/>
      <c r="E73" s="14" t="s">
        <v>444</v>
      </c>
      <c r="F73" s="99"/>
      <c r="G73" s="88" t="e">
        <f>VLOOKUP($F73,'Digital Targeting'!$A$21:$G$100,5,FALSE)*I73</f>
        <v>#N/A</v>
      </c>
      <c r="H73" s="14" t="s">
        <v>420</v>
      </c>
      <c r="I73" s="235" t="e">
        <f>VLOOKUP(F73,'Digital Targeting'!$A$21:$M$214,8,FALSE)</f>
        <v>#N/A</v>
      </c>
      <c r="J73" s="237"/>
      <c r="K73" s="152"/>
      <c r="L73" s="89">
        <f>IFERROR(L72/$G73,0)</f>
        <v>0</v>
      </c>
      <c r="M73" s="89">
        <f t="shared" ref="M73" si="132">IFERROR(M72/$G73,0)</f>
        <v>0</v>
      </c>
      <c r="N73" s="89">
        <f t="shared" ref="N73" si="133">IFERROR(N72/$G73,0)</f>
        <v>0</v>
      </c>
      <c r="O73" s="89">
        <f t="shared" ref="O73" si="134">IFERROR(O72/$G73,0)</f>
        <v>0</v>
      </c>
      <c r="P73" s="89">
        <f t="shared" ref="P73" si="135">IFERROR(P72/$G73,0)</f>
        <v>0</v>
      </c>
      <c r="Q73" s="89">
        <f t="shared" ref="Q73" si="136">IFERROR(Q72/$G73,0)</f>
        <v>0</v>
      </c>
      <c r="R73" s="89">
        <f t="shared" ref="R73" si="137">IFERROR(R72/$G73,0)</f>
        <v>0</v>
      </c>
      <c r="S73" s="89">
        <f t="shared" ref="S73" si="138">IFERROR(S72/$G73,0)</f>
        <v>0</v>
      </c>
      <c r="T73" s="89">
        <f t="shared" ref="T73" si="139">IFERROR(T72/$G73,0)</f>
        <v>0</v>
      </c>
      <c r="U73" s="89">
        <f t="shared" ref="U73" si="140">IFERROR(U72/$G73,0)</f>
        <v>0</v>
      </c>
      <c r="V73" s="89">
        <f t="shared" ref="V73" si="141">IFERROR(V72/$G73,0)</f>
        <v>0</v>
      </c>
      <c r="W73" s="89">
        <f t="shared" ref="W73" si="142">IFERROR(W72/$G73,0)</f>
        <v>0</v>
      </c>
      <c r="X73" s="92"/>
      <c r="Y73" s="90">
        <f t="shared" si="131"/>
        <v>0</v>
      </c>
      <c r="Z73" s="92"/>
      <c r="AA73" s="238"/>
      <c r="AB73" s="239"/>
      <c r="AC73" s="145"/>
      <c r="AD73" s="146"/>
      <c r="AE73" s="153" t="e">
        <f>G73/1000</f>
        <v>#N/A</v>
      </c>
      <c r="AF73" s="153">
        <v>9</v>
      </c>
      <c r="AG73" s="153" t="e">
        <f>AF73*AE73</f>
        <v>#N/A</v>
      </c>
      <c r="AH73" s="154">
        <f>$A73</f>
        <v>14.71</v>
      </c>
      <c r="AI73" s="155">
        <f>($F$2-$F$3+1)/7</f>
        <v>12</v>
      </c>
      <c r="AJ73" s="154" t="e">
        <f>(AG73*AH73)/AI73</f>
        <v>#N/A</v>
      </c>
      <c r="AK73" s="147"/>
      <c r="AL73" s="147"/>
    </row>
    <row r="74" spans="1:38" ht="15.75" customHeight="1">
      <c r="F74" s="156"/>
      <c r="G74" s="22"/>
      <c r="H74" s="14" t="s">
        <v>15</v>
      </c>
      <c r="I74" s="233"/>
      <c r="J74" s="237"/>
      <c r="K74" s="152"/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92"/>
      <c r="Y74" s="20">
        <f t="shared" si="131"/>
        <v>0</v>
      </c>
      <c r="Z74" s="92"/>
      <c r="AA74" s="238"/>
      <c r="AB74" s="239"/>
      <c r="AC74" s="145"/>
      <c r="AD74" s="146"/>
      <c r="AE74" s="146"/>
      <c r="AF74" s="147"/>
      <c r="AG74" s="147"/>
      <c r="AH74" s="147"/>
      <c r="AI74" s="147"/>
      <c r="AJ74" s="147"/>
      <c r="AK74" s="147"/>
      <c r="AL74" s="147"/>
    </row>
    <row r="75" spans="1:38" ht="15.75" customHeight="1">
      <c r="A75" s="17"/>
      <c r="B75" s="17"/>
      <c r="C75" s="17"/>
      <c r="D75" s="17"/>
      <c r="E75" s="14"/>
      <c r="F75" s="14"/>
      <c r="G75" s="14"/>
      <c r="H75" s="14" t="s">
        <v>57</v>
      </c>
      <c r="I75" s="233"/>
      <c r="J75" s="237" t="s">
        <v>436</v>
      </c>
      <c r="K75" s="152"/>
      <c r="L75" s="88">
        <f>(L77*1000)/$A76</f>
        <v>0</v>
      </c>
      <c r="M75" s="88">
        <f t="shared" ref="M75:W75" si="143">(M77*1000)/$A76</f>
        <v>0</v>
      </c>
      <c r="N75" s="88">
        <f t="shared" si="143"/>
        <v>0</v>
      </c>
      <c r="O75" s="88">
        <f t="shared" si="143"/>
        <v>0</v>
      </c>
      <c r="P75" s="88">
        <f t="shared" si="143"/>
        <v>0</v>
      </c>
      <c r="Q75" s="88">
        <f t="shared" si="143"/>
        <v>0</v>
      </c>
      <c r="R75" s="88">
        <f t="shared" si="143"/>
        <v>0</v>
      </c>
      <c r="S75" s="88">
        <f t="shared" si="143"/>
        <v>0</v>
      </c>
      <c r="T75" s="88">
        <f t="shared" si="143"/>
        <v>0</v>
      </c>
      <c r="U75" s="88">
        <f t="shared" si="143"/>
        <v>0</v>
      </c>
      <c r="V75" s="88">
        <f t="shared" si="143"/>
        <v>0</v>
      </c>
      <c r="W75" s="88">
        <f t="shared" si="143"/>
        <v>0</v>
      </c>
      <c r="X75" s="92"/>
      <c r="Y75" s="88">
        <f t="shared" si="131"/>
        <v>0</v>
      </c>
      <c r="Z75" s="92"/>
      <c r="AA75" s="238">
        <f>IFERROR($Y77/$Y$87, 0)</f>
        <v>0</v>
      </c>
      <c r="AB75" s="239">
        <f>IFERROR($Y77/$Y$398, 0)</f>
        <v>0</v>
      </c>
      <c r="AC75" s="145"/>
      <c r="AD75" s="146"/>
      <c r="AE75" s="146"/>
      <c r="AF75" s="147"/>
      <c r="AG75" s="147"/>
      <c r="AH75" s="147"/>
      <c r="AI75" s="147"/>
      <c r="AJ75" s="147"/>
      <c r="AK75" s="147"/>
      <c r="AL75" s="147"/>
    </row>
    <row r="76" spans="1:38" ht="15.75" customHeight="1">
      <c r="A76" s="17">
        <f>VLOOKUP($E76,'Digital Targeting'!$B$524:$E$892,4,FALSE)</f>
        <v>58.82</v>
      </c>
      <c r="B76" s="17"/>
      <c r="C76" s="95"/>
      <c r="D76" s="95"/>
      <c r="E76" s="14" t="s">
        <v>733</v>
      </c>
      <c r="F76" s="99"/>
      <c r="G76" s="88" t="e">
        <f>VLOOKUP($F76,'Digital Targeting'!$A$21:$G$100,5,FALSE)*I76</f>
        <v>#N/A</v>
      </c>
      <c r="H76" s="14" t="s">
        <v>420</v>
      </c>
      <c r="I76" s="235" t="e">
        <f>VLOOKUP(F76,'Digital Targeting'!$A$21:$M$214,8,FALSE)</f>
        <v>#N/A</v>
      </c>
      <c r="J76" s="237"/>
      <c r="K76" s="152"/>
      <c r="L76" s="89">
        <f>IFERROR(L75/$G76,0)</f>
        <v>0</v>
      </c>
      <c r="M76" s="89">
        <f t="shared" ref="M76" si="144">IFERROR(M75/$G76,0)</f>
        <v>0</v>
      </c>
      <c r="N76" s="89">
        <f t="shared" ref="N76" si="145">IFERROR(N75/$G76,0)</f>
        <v>0</v>
      </c>
      <c r="O76" s="89">
        <f t="shared" ref="O76" si="146">IFERROR(O75/$G76,0)</f>
        <v>0</v>
      </c>
      <c r="P76" s="89">
        <f t="shared" ref="P76" si="147">IFERROR(P75/$G76,0)</f>
        <v>0</v>
      </c>
      <c r="Q76" s="89">
        <f t="shared" ref="Q76" si="148">IFERROR(Q75/$G76,0)</f>
        <v>0</v>
      </c>
      <c r="R76" s="89">
        <f t="shared" ref="R76" si="149">IFERROR(R75/$G76,0)</f>
        <v>0</v>
      </c>
      <c r="S76" s="89">
        <f t="shared" ref="S76" si="150">IFERROR(S75/$G76,0)</f>
        <v>0</v>
      </c>
      <c r="T76" s="89">
        <f t="shared" ref="T76" si="151">IFERROR(T75/$G76,0)</f>
        <v>0</v>
      </c>
      <c r="U76" s="89">
        <f t="shared" ref="U76" si="152">IFERROR(U75/$G76,0)</f>
        <v>0</v>
      </c>
      <c r="V76" s="89">
        <f t="shared" ref="V76" si="153">IFERROR(V75/$G76,0)</f>
        <v>0</v>
      </c>
      <c r="W76" s="89">
        <f t="shared" ref="W76" si="154">IFERROR(W75/$G76,0)</f>
        <v>0</v>
      </c>
      <c r="X76" s="92"/>
      <c r="Y76" s="90">
        <f t="shared" si="131"/>
        <v>0</v>
      </c>
      <c r="Z76" s="92"/>
      <c r="AA76" s="238"/>
      <c r="AB76" s="239"/>
      <c r="AC76" s="145"/>
      <c r="AD76" s="146"/>
      <c r="AE76" s="153" t="e">
        <f>G76/1000</f>
        <v>#N/A</v>
      </c>
      <c r="AF76" s="153">
        <v>9</v>
      </c>
      <c r="AG76" s="153" t="e">
        <f>AF76*AE76</f>
        <v>#N/A</v>
      </c>
      <c r="AH76" s="154">
        <f>$A76</f>
        <v>58.82</v>
      </c>
      <c r="AI76" s="155">
        <f>($F$2-$F$3+1)/7</f>
        <v>12</v>
      </c>
      <c r="AJ76" s="154" t="e">
        <f>(AG76*AH76)/AI76</f>
        <v>#N/A</v>
      </c>
      <c r="AK76" s="147"/>
      <c r="AL76" s="147"/>
    </row>
    <row r="77" spans="1:38" ht="15.75" customHeight="1">
      <c r="F77" s="156"/>
      <c r="G77" s="22"/>
      <c r="H77" s="14" t="s">
        <v>15</v>
      </c>
      <c r="I77" s="233"/>
      <c r="J77" s="237"/>
      <c r="K77" s="152"/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92"/>
      <c r="Y77" s="20">
        <f t="shared" si="131"/>
        <v>0</v>
      </c>
      <c r="Z77" s="92"/>
      <c r="AA77" s="238"/>
      <c r="AB77" s="239"/>
      <c r="AC77" s="145"/>
      <c r="AD77" s="146"/>
      <c r="AE77" s="146"/>
      <c r="AF77" s="147"/>
      <c r="AG77" s="147"/>
      <c r="AH77" s="147"/>
      <c r="AI77" s="147"/>
      <c r="AJ77" s="147"/>
      <c r="AK77" s="147"/>
      <c r="AL77" s="147"/>
    </row>
    <row r="78" spans="1:38" ht="15.75" customHeight="1">
      <c r="A78" s="17"/>
      <c r="B78" s="17"/>
      <c r="C78" s="17"/>
      <c r="D78" s="17"/>
      <c r="E78" s="14"/>
      <c r="F78" s="14"/>
      <c r="G78" s="14"/>
      <c r="H78" s="14" t="s">
        <v>57</v>
      </c>
      <c r="I78" s="233"/>
      <c r="J78" s="237" t="s">
        <v>436</v>
      </c>
      <c r="K78" s="152"/>
      <c r="L78" s="88">
        <f>(L80*1000)/$A79</f>
        <v>0</v>
      </c>
      <c r="M78" s="88">
        <f t="shared" ref="M78:W78" si="155">(M80*1000)/$A79</f>
        <v>0</v>
      </c>
      <c r="N78" s="88">
        <f t="shared" si="155"/>
        <v>0</v>
      </c>
      <c r="O78" s="88">
        <f t="shared" si="155"/>
        <v>0</v>
      </c>
      <c r="P78" s="88">
        <f t="shared" si="155"/>
        <v>0</v>
      </c>
      <c r="Q78" s="88">
        <f t="shared" si="155"/>
        <v>0</v>
      </c>
      <c r="R78" s="88">
        <f t="shared" si="155"/>
        <v>0</v>
      </c>
      <c r="S78" s="88">
        <f t="shared" si="155"/>
        <v>0</v>
      </c>
      <c r="T78" s="88">
        <f t="shared" si="155"/>
        <v>0</v>
      </c>
      <c r="U78" s="88">
        <f t="shared" si="155"/>
        <v>0</v>
      </c>
      <c r="V78" s="88">
        <f t="shared" si="155"/>
        <v>0</v>
      </c>
      <c r="W78" s="88">
        <f t="shared" si="155"/>
        <v>0</v>
      </c>
      <c r="X78" s="92"/>
      <c r="Y78" s="88">
        <f t="shared" si="131"/>
        <v>0</v>
      </c>
      <c r="Z78" s="92"/>
      <c r="AA78" s="238">
        <f>IFERROR($Y80/$Y$87, 0)</f>
        <v>0</v>
      </c>
      <c r="AB78" s="239">
        <f>IFERROR($Y80/$Y$398, 0)</f>
        <v>0</v>
      </c>
      <c r="AC78" s="145"/>
      <c r="AD78" s="146"/>
      <c r="AE78" s="146"/>
      <c r="AF78" s="147"/>
      <c r="AG78" s="147"/>
      <c r="AH78" s="147"/>
      <c r="AI78" s="147"/>
      <c r="AJ78" s="147"/>
      <c r="AK78" s="147"/>
      <c r="AL78" s="147"/>
    </row>
    <row r="79" spans="1:38" ht="15.75" customHeight="1">
      <c r="A79" s="17">
        <f>VLOOKUP($E79,'Digital Targeting'!$B$524:$E$892,4,FALSE)</f>
        <v>64.709999999999994</v>
      </c>
      <c r="B79" s="17"/>
      <c r="C79" s="95"/>
      <c r="D79" s="95"/>
      <c r="E79" s="14" t="s">
        <v>760</v>
      </c>
      <c r="F79" s="99"/>
      <c r="G79" s="88" t="e">
        <f>VLOOKUP($F79,'Digital Targeting'!$A$21:$G$100,5,FALSE)*I79</f>
        <v>#N/A</v>
      </c>
      <c r="H79" s="14" t="s">
        <v>420</v>
      </c>
      <c r="I79" s="235" t="e">
        <f>VLOOKUP(F79,'Digital Targeting'!$A$21:$M$214,9,FALSE)</f>
        <v>#N/A</v>
      </c>
      <c r="J79" s="237"/>
      <c r="K79" s="152"/>
      <c r="L79" s="89">
        <f>IFERROR(L78/$G79,0)</f>
        <v>0</v>
      </c>
      <c r="M79" s="89">
        <f t="shared" ref="M79" si="156">IFERROR(M78/$G79,0)</f>
        <v>0</v>
      </c>
      <c r="N79" s="89">
        <f t="shared" ref="N79" si="157">IFERROR(N78/$G79,0)</f>
        <v>0</v>
      </c>
      <c r="O79" s="89">
        <f t="shared" ref="O79" si="158">IFERROR(O78/$G79,0)</f>
        <v>0</v>
      </c>
      <c r="P79" s="89">
        <f t="shared" ref="P79" si="159">IFERROR(P78/$G79,0)</f>
        <v>0</v>
      </c>
      <c r="Q79" s="89">
        <f t="shared" ref="Q79" si="160">IFERROR(Q78/$G79,0)</f>
        <v>0</v>
      </c>
      <c r="R79" s="89">
        <f t="shared" ref="R79" si="161">IFERROR(R78/$G79,0)</f>
        <v>0</v>
      </c>
      <c r="S79" s="89">
        <f t="shared" ref="S79" si="162">IFERROR(S78/$G79,0)</f>
        <v>0</v>
      </c>
      <c r="T79" s="89">
        <f t="shared" ref="T79" si="163">IFERROR(T78/$G79,0)</f>
        <v>0</v>
      </c>
      <c r="U79" s="89">
        <f t="shared" ref="U79" si="164">IFERROR(U78/$G79,0)</f>
        <v>0</v>
      </c>
      <c r="V79" s="89">
        <f t="shared" ref="V79" si="165">IFERROR(V78/$G79,0)</f>
        <v>0</v>
      </c>
      <c r="W79" s="89">
        <f t="shared" ref="W79" si="166">IFERROR(W78/$G79,0)</f>
        <v>0</v>
      </c>
      <c r="X79" s="92"/>
      <c r="Y79" s="90">
        <f t="shared" si="131"/>
        <v>0</v>
      </c>
      <c r="Z79" s="92"/>
      <c r="AA79" s="238"/>
      <c r="AB79" s="239"/>
      <c r="AC79" s="145"/>
      <c r="AD79" s="146"/>
      <c r="AE79" s="153" t="e">
        <f>G79/1000</f>
        <v>#N/A</v>
      </c>
      <c r="AF79" s="153">
        <v>9</v>
      </c>
      <c r="AG79" s="153" t="e">
        <f>AF79*AE79</f>
        <v>#N/A</v>
      </c>
      <c r="AH79" s="154">
        <f>$A79</f>
        <v>64.709999999999994</v>
      </c>
      <c r="AI79" s="155">
        <f>($F$2-$F$3+1)/7</f>
        <v>12</v>
      </c>
      <c r="AJ79" s="154" t="e">
        <f>(AG79*AH79)/AI79</f>
        <v>#N/A</v>
      </c>
      <c r="AK79" s="147"/>
      <c r="AL79" s="147"/>
    </row>
    <row r="80" spans="1:38" ht="15.75" customHeight="1">
      <c r="F80" s="156"/>
      <c r="G80" s="22"/>
      <c r="H80" s="14" t="s">
        <v>15</v>
      </c>
      <c r="I80" s="233"/>
      <c r="J80" s="237"/>
      <c r="K80" s="152"/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92"/>
      <c r="Y80" s="20">
        <f t="shared" si="131"/>
        <v>0</v>
      </c>
      <c r="Z80" s="92"/>
      <c r="AA80" s="238"/>
      <c r="AB80" s="239"/>
      <c r="AC80" s="145"/>
      <c r="AD80" s="146"/>
      <c r="AE80" s="146"/>
      <c r="AF80" s="147"/>
      <c r="AG80" s="147"/>
      <c r="AH80" s="147"/>
      <c r="AI80" s="147"/>
      <c r="AJ80" s="147"/>
      <c r="AK80" s="147"/>
      <c r="AL80" s="147"/>
    </row>
    <row r="81" spans="1:38" ht="15.75" customHeight="1">
      <c r="A81" s="17"/>
      <c r="B81" s="17"/>
      <c r="C81" s="17"/>
      <c r="D81" s="17"/>
      <c r="E81" s="14"/>
      <c r="F81" s="14"/>
      <c r="G81" s="14"/>
      <c r="H81" s="14" t="s">
        <v>57</v>
      </c>
      <c r="I81" s="233"/>
      <c r="J81" s="237" t="s">
        <v>436</v>
      </c>
      <c r="K81" s="152"/>
      <c r="L81" s="88">
        <f>(L83*1000)/$A82</f>
        <v>0</v>
      </c>
      <c r="M81" s="88">
        <f t="shared" ref="M81:W81" si="167">(M83*1000)/$A82</f>
        <v>0</v>
      </c>
      <c r="N81" s="88">
        <f t="shared" si="167"/>
        <v>0</v>
      </c>
      <c r="O81" s="88">
        <f t="shared" si="167"/>
        <v>0</v>
      </c>
      <c r="P81" s="88">
        <f t="shared" si="167"/>
        <v>0</v>
      </c>
      <c r="Q81" s="88">
        <f t="shared" si="167"/>
        <v>0</v>
      </c>
      <c r="R81" s="88">
        <f t="shared" si="167"/>
        <v>0</v>
      </c>
      <c r="S81" s="88">
        <f t="shared" si="167"/>
        <v>0</v>
      </c>
      <c r="T81" s="88">
        <f t="shared" si="167"/>
        <v>0</v>
      </c>
      <c r="U81" s="88">
        <f t="shared" si="167"/>
        <v>0</v>
      </c>
      <c r="V81" s="88">
        <f t="shared" si="167"/>
        <v>0</v>
      </c>
      <c r="W81" s="88">
        <f t="shared" si="167"/>
        <v>0</v>
      </c>
      <c r="X81" s="92"/>
      <c r="Y81" s="88">
        <f t="shared" si="131"/>
        <v>0</v>
      </c>
      <c r="Z81" s="92"/>
      <c r="AA81" s="238">
        <f>IFERROR($Y83/$Y$87, 0)</f>
        <v>0</v>
      </c>
      <c r="AB81" s="239">
        <f>IFERROR($Y83/$Y$398, 0)</f>
        <v>0</v>
      </c>
      <c r="AC81" s="145"/>
      <c r="AD81" s="146"/>
      <c r="AE81" s="146"/>
      <c r="AF81" s="147"/>
      <c r="AG81" s="147"/>
      <c r="AH81" s="147"/>
      <c r="AI81" s="147"/>
      <c r="AJ81" s="147"/>
      <c r="AK81" s="147"/>
      <c r="AL81" s="147"/>
    </row>
    <row r="82" spans="1:38" ht="15.75" customHeight="1">
      <c r="A82" s="17">
        <f>VLOOKUP($E82,'Digital Targeting'!$B$524:$E$892,4,FALSE)</f>
        <v>82.35</v>
      </c>
      <c r="B82" s="17"/>
      <c r="C82" s="95"/>
      <c r="D82" s="95"/>
      <c r="E82" s="14" t="s">
        <v>446</v>
      </c>
      <c r="F82" s="99"/>
      <c r="G82" s="88" t="e">
        <f>VLOOKUP($F82,'Digital Targeting'!$A$21:$G$100,5,FALSE)*I82</f>
        <v>#N/A</v>
      </c>
      <c r="H82" s="14" t="s">
        <v>420</v>
      </c>
      <c r="I82" s="235" t="e">
        <f>VLOOKUP(F82,'Digital Targeting'!$A$21:$M$214,9,FALSE)</f>
        <v>#N/A</v>
      </c>
      <c r="J82" s="237"/>
      <c r="K82" s="152"/>
      <c r="L82" s="89">
        <f>IFERROR(L81/$G82,0)</f>
        <v>0</v>
      </c>
      <c r="M82" s="89">
        <f t="shared" ref="M82" si="168">IFERROR(M81/$G82,0)</f>
        <v>0</v>
      </c>
      <c r="N82" s="89">
        <f t="shared" ref="N82" si="169">IFERROR(N81/$G82,0)</f>
        <v>0</v>
      </c>
      <c r="O82" s="89">
        <f t="shared" ref="O82" si="170">IFERROR(O81/$G82,0)</f>
        <v>0</v>
      </c>
      <c r="P82" s="89">
        <f t="shared" ref="P82" si="171">IFERROR(P81/$G82,0)</f>
        <v>0</v>
      </c>
      <c r="Q82" s="89">
        <f t="shared" ref="Q82" si="172">IFERROR(Q81/$G82,0)</f>
        <v>0</v>
      </c>
      <c r="R82" s="89">
        <f t="shared" ref="R82" si="173">IFERROR(R81/$G82,0)</f>
        <v>0</v>
      </c>
      <c r="S82" s="89">
        <f t="shared" ref="S82" si="174">IFERROR(S81/$G82,0)</f>
        <v>0</v>
      </c>
      <c r="T82" s="89">
        <f t="shared" ref="T82" si="175">IFERROR(T81/$G82,0)</f>
        <v>0</v>
      </c>
      <c r="U82" s="89">
        <f t="shared" ref="U82" si="176">IFERROR(U81/$G82,0)</f>
        <v>0</v>
      </c>
      <c r="V82" s="89">
        <f t="shared" ref="V82" si="177">IFERROR(V81/$G82,0)</f>
        <v>0</v>
      </c>
      <c r="W82" s="89">
        <f t="shared" ref="W82" si="178">IFERROR(W81/$G82,0)</f>
        <v>0</v>
      </c>
      <c r="X82" s="92"/>
      <c r="Y82" s="90">
        <f t="shared" si="131"/>
        <v>0</v>
      </c>
      <c r="Z82" s="92"/>
      <c r="AA82" s="238"/>
      <c r="AB82" s="239"/>
      <c r="AC82" s="145"/>
      <c r="AD82" s="146"/>
      <c r="AE82" s="153" t="e">
        <f>G82/1000</f>
        <v>#N/A</v>
      </c>
      <c r="AF82" s="153">
        <v>9</v>
      </c>
      <c r="AG82" s="153" t="e">
        <f>AF82*AE82</f>
        <v>#N/A</v>
      </c>
      <c r="AH82" s="154">
        <f>$A82</f>
        <v>82.35</v>
      </c>
      <c r="AI82" s="155">
        <f>($F$2-$F$3+1)/7</f>
        <v>12</v>
      </c>
      <c r="AJ82" s="154" t="e">
        <f>(AG82*AH82)/AI82</f>
        <v>#N/A</v>
      </c>
      <c r="AK82" s="147"/>
      <c r="AL82" s="147"/>
    </row>
    <row r="83" spans="1:38" ht="15.75" customHeight="1">
      <c r="F83" s="156"/>
      <c r="G83" s="22"/>
      <c r="H83" s="14" t="s">
        <v>15</v>
      </c>
      <c r="I83" s="233"/>
      <c r="J83" s="237"/>
      <c r="K83" s="152"/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92"/>
      <c r="Y83" s="20">
        <f t="shared" si="131"/>
        <v>0</v>
      </c>
      <c r="Z83" s="92"/>
      <c r="AA83" s="238"/>
      <c r="AB83" s="239"/>
      <c r="AC83" s="145"/>
      <c r="AD83" s="146"/>
      <c r="AE83" s="146"/>
      <c r="AF83" s="147"/>
      <c r="AG83" s="147"/>
      <c r="AH83" s="147"/>
      <c r="AI83" s="147"/>
      <c r="AJ83" s="147"/>
      <c r="AK83" s="147"/>
      <c r="AL83" s="147"/>
    </row>
    <row r="84" spans="1:38" ht="15.75" customHeight="1">
      <c r="F84" s="156"/>
      <c r="G84" s="22"/>
      <c r="H84" s="14"/>
      <c r="I84" s="126"/>
      <c r="J84" s="126"/>
      <c r="K84" s="152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92"/>
      <c r="Y84" s="20"/>
      <c r="Z84" s="92"/>
      <c r="AA84" s="175"/>
      <c r="AB84" s="125"/>
      <c r="AC84" s="145"/>
      <c r="AD84" s="146"/>
      <c r="AE84" s="146"/>
      <c r="AF84" s="147"/>
      <c r="AG84" s="147"/>
      <c r="AH84" s="147"/>
      <c r="AI84" s="147"/>
      <c r="AJ84" s="147"/>
      <c r="AK84" s="147"/>
      <c r="AL84" s="147"/>
    </row>
    <row r="85" spans="1:38" ht="15.75" customHeight="1">
      <c r="A85" s="210">
        <v>0.55000000000000004</v>
      </c>
      <c r="E85" s="106" t="s">
        <v>429</v>
      </c>
      <c r="F85" s="94"/>
      <c r="G85" s="94"/>
      <c r="H85" s="211" t="s">
        <v>748</v>
      </c>
      <c r="I85" s="126"/>
      <c r="J85" s="126"/>
      <c r="K85" s="92"/>
      <c r="L85" s="212">
        <f t="shared" ref="L85:W85" si="179">(SUMIFS(L$71:L$89, $H$71:$H$89, "IMPs", $J$71:$J$89, "Yes") / 1000 * 0.55)</f>
        <v>0</v>
      </c>
      <c r="M85" s="212">
        <f t="shared" si="179"/>
        <v>0</v>
      </c>
      <c r="N85" s="212">
        <f t="shared" si="179"/>
        <v>0</v>
      </c>
      <c r="O85" s="212">
        <f t="shared" si="179"/>
        <v>0</v>
      </c>
      <c r="P85" s="212">
        <f t="shared" si="179"/>
        <v>0</v>
      </c>
      <c r="Q85" s="212">
        <f t="shared" si="179"/>
        <v>0</v>
      </c>
      <c r="R85" s="212">
        <f t="shared" si="179"/>
        <v>0</v>
      </c>
      <c r="S85" s="212">
        <f t="shared" si="179"/>
        <v>0</v>
      </c>
      <c r="T85" s="212">
        <f t="shared" si="179"/>
        <v>0</v>
      </c>
      <c r="U85" s="212">
        <f t="shared" si="179"/>
        <v>0</v>
      </c>
      <c r="V85" s="212">
        <f t="shared" si="179"/>
        <v>0</v>
      </c>
      <c r="W85" s="212">
        <f t="shared" si="179"/>
        <v>0</v>
      </c>
      <c r="X85" s="213"/>
      <c r="Y85" s="214">
        <f>SUM(L85:W85)</f>
        <v>0</v>
      </c>
      <c r="Z85" s="92"/>
      <c r="AA85" s="215">
        <f>IFERROR(Y85/Y87,0)</f>
        <v>0</v>
      </c>
      <c r="AB85" s="216">
        <f>IFERROR(Y85/Y$398,0)</f>
        <v>0</v>
      </c>
      <c r="AC85" s="145"/>
      <c r="AD85" s="146"/>
      <c r="AE85" s="146"/>
      <c r="AF85" s="147"/>
      <c r="AG85" s="147"/>
      <c r="AH85" s="147"/>
      <c r="AI85" s="147"/>
      <c r="AJ85" s="147"/>
      <c r="AK85" s="147"/>
      <c r="AL85" s="147"/>
    </row>
    <row r="86" spans="1:38" ht="15.75" customHeight="1">
      <c r="A86" s="17"/>
      <c r="B86" s="17"/>
      <c r="C86" s="17"/>
      <c r="D86" s="17"/>
      <c r="E86" s="14"/>
      <c r="F86" s="14"/>
      <c r="G86" s="14"/>
      <c r="H86" s="14"/>
      <c r="I86" s="126"/>
      <c r="J86" s="126"/>
      <c r="K86" s="92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92"/>
      <c r="Y86" s="20"/>
      <c r="Z86" s="92"/>
      <c r="AA86" s="23"/>
      <c r="AB86" s="24"/>
      <c r="AC86" s="145"/>
      <c r="AD86" s="146"/>
      <c r="AE86" s="146"/>
      <c r="AF86" s="147"/>
      <c r="AG86" s="147"/>
      <c r="AH86" s="147"/>
      <c r="AI86" s="147"/>
      <c r="AJ86" s="147"/>
      <c r="AK86" s="147"/>
      <c r="AL86" s="147"/>
    </row>
    <row r="87" spans="1:38" ht="15.75" customHeight="1">
      <c r="A87" s="17"/>
      <c r="B87" s="17"/>
      <c r="C87" s="17"/>
      <c r="D87" s="17"/>
      <c r="E87" s="25" t="s">
        <v>426</v>
      </c>
      <c r="F87" s="18"/>
      <c r="G87" s="22"/>
      <c r="H87" s="14" t="s">
        <v>11</v>
      </c>
      <c r="I87" s="126"/>
      <c r="J87" s="126"/>
      <c r="K87" s="92"/>
      <c r="L87" s="26">
        <f>SUMIF($H71:$H89,"$$$",L$71:L$89)+L85</f>
        <v>0</v>
      </c>
      <c r="M87" s="26">
        <f t="shared" ref="M87:W87" si="180">SUMIF($H71:$H89,"$$$",M$71:M$89)+M85</f>
        <v>0</v>
      </c>
      <c r="N87" s="26">
        <f t="shared" si="180"/>
        <v>0</v>
      </c>
      <c r="O87" s="26">
        <f t="shared" si="180"/>
        <v>0</v>
      </c>
      <c r="P87" s="26">
        <f t="shared" si="180"/>
        <v>0</v>
      </c>
      <c r="Q87" s="26">
        <f t="shared" si="180"/>
        <v>0</v>
      </c>
      <c r="R87" s="26">
        <f t="shared" si="180"/>
        <v>0</v>
      </c>
      <c r="S87" s="26">
        <f t="shared" si="180"/>
        <v>0</v>
      </c>
      <c r="T87" s="26">
        <f t="shared" si="180"/>
        <v>0</v>
      </c>
      <c r="U87" s="26">
        <f t="shared" si="180"/>
        <v>0</v>
      </c>
      <c r="V87" s="26">
        <f t="shared" si="180"/>
        <v>0</v>
      </c>
      <c r="W87" s="26">
        <f t="shared" si="180"/>
        <v>0</v>
      </c>
      <c r="X87" s="92"/>
      <c r="Y87" s="26">
        <f>SUM(L87:W87)</f>
        <v>0</v>
      </c>
      <c r="Z87" s="92"/>
      <c r="AA87" s="28">
        <f>IFERROR($Y87/$Y$87, 0)</f>
        <v>0</v>
      </c>
      <c r="AB87" s="29">
        <f>IFERROR($Y87/$Y$398, 0)</f>
        <v>0</v>
      </c>
      <c r="AC87" s="145"/>
      <c r="AD87" s="146"/>
      <c r="AE87" s="146"/>
      <c r="AF87" s="147"/>
      <c r="AG87" s="147"/>
      <c r="AH87" s="147"/>
      <c r="AI87" s="147"/>
      <c r="AJ87" s="147"/>
      <c r="AK87" s="147"/>
      <c r="AL87" s="147"/>
    </row>
    <row r="88" spans="1:38" ht="15.75" customHeight="1" thickBot="1">
      <c r="A88" s="135"/>
      <c r="B88" s="135"/>
      <c r="C88" s="135"/>
      <c r="D88" s="135"/>
      <c r="E88" s="136" t="s">
        <v>427</v>
      </c>
      <c r="F88" s="137"/>
      <c r="G88" s="138"/>
      <c r="H88" s="139" t="s">
        <v>417</v>
      </c>
      <c r="I88" s="140"/>
      <c r="J88" s="140"/>
      <c r="K88" s="141"/>
      <c r="L88" s="142">
        <f t="shared" ref="L88:W88" si="181">L87*(1-(0.15-$H$3))</f>
        <v>0</v>
      </c>
      <c r="M88" s="142">
        <f t="shared" si="181"/>
        <v>0</v>
      </c>
      <c r="N88" s="142">
        <f t="shared" si="181"/>
        <v>0</v>
      </c>
      <c r="O88" s="142">
        <f t="shared" ref="O88:P88" si="182">O87*(1-(0.15-$H$3))</f>
        <v>0</v>
      </c>
      <c r="P88" s="142">
        <f t="shared" si="182"/>
        <v>0</v>
      </c>
      <c r="Q88" s="142">
        <f t="shared" ref="Q88" si="183">Q87*(1-(0.15-$H$3))</f>
        <v>0</v>
      </c>
      <c r="R88" s="142">
        <f t="shared" si="181"/>
        <v>0</v>
      </c>
      <c r="S88" s="142">
        <f t="shared" si="181"/>
        <v>0</v>
      </c>
      <c r="T88" s="142">
        <f t="shared" si="181"/>
        <v>0</v>
      </c>
      <c r="U88" s="142">
        <f t="shared" si="181"/>
        <v>0</v>
      </c>
      <c r="V88" s="142">
        <f t="shared" si="181"/>
        <v>0</v>
      </c>
      <c r="W88" s="142">
        <f t="shared" si="181"/>
        <v>0</v>
      </c>
      <c r="X88" s="141"/>
      <c r="Y88" s="142">
        <f>SUM(L88:W88)</f>
        <v>0</v>
      </c>
      <c r="Z88" s="141"/>
      <c r="AA88" s="143"/>
      <c r="AB88" s="144"/>
      <c r="AC88" s="145"/>
      <c r="AD88" s="146"/>
      <c r="AE88" s="146"/>
      <c r="AF88" s="147"/>
      <c r="AG88" s="147"/>
      <c r="AH88" s="147"/>
      <c r="AI88" s="147"/>
      <c r="AJ88" s="147"/>
      <c r="AK88" s="147"/>
      <c r="AL88" s="147"/>
    </row>
    <row r="89" spans="1:38" ht="15.75" customHeight="1" thickTop="1">
      <c r="A89" s="251" t="s">
        <v>36</v>
      </c>
      <c r="B89" s="240"/>
      <c r="C89" s="240"/>
      <c r="D89" s="240"/>
      <c r="E89" s="240" t="s">
        <v>423</v>
      </c>
      <c r="F89" s="240" t="s">
        <v>442</v>
      </c>
      <c r="G89" s="240"/>
      <c r="H89" s="240"/>
      <c r="I89" s="246"/>
      <c r="J89" s="246" t="s">
        <v>435</v>
      </c>
      <c r="K89" s="240"/>
      <c r="L89" s="6" t="str">
        <f t="shared" ref="L89:W89" si="184">CONCATENATE("Week ",L$2)</f>
        <v>Week 12</v>
      </c>
      <c r="M89" s="6" t="str">
        <f t="shared" si="184"/>
        <v>Week 11</v>
      </c>
      <c r="N89" s="6" t="str">
        <f t="shared" si="184"/>
        <v>Week 10</v>
      </c>
      <c r="O89" s="6" t="str">
        <f t="shared" si="184"/>
        <v>Week 9</v>
      </c>
      <c r="P89" s="6" t="str">
        <f t="shared" si="184"/>
        <v>Week 8</v>
      </c>
      <c r="Q89" s="6" t="str">
        <f t="shared" si="184"/>
        <v>Week 7</v>
      </c>
      <c r="R89" s="6" t="str">
        <f t="shared" si="184"/>
        <v>Week 6</v>
      </c>
      <c r="S89" s="6" t="str">
        <f t="shared" si="184"/>
        <v>Week 5</v>
      </c>
      <c r="T89" s="6" t="str">
        <f t="shared" si="184"/>
        <v>Week 4</v>
      </c>
      <c r="U89" s="6" t="str">
        <f t="shared" si="184"/>
        <v>Week 3</v>
      </c>
      <c r="V89" s="6" t="str">
        <f t="shared" si="184"/>
        <v>Week 2</v>
      </c>
      <c r="W89" s="6" t="str">
        <f t="shared" si="184"/>
        <v>Week 1</v>
      </c>
      <c r="X89" s="240"/>
      <c r="Y89" s="240" t="s">
        <v>11</v>
      </c>
      <c r="Z89" s="240"/>
      <c r="AA89" s="240" t="s">
        <v>112</v>
      </c>
      <c r="AB89" s="242" t="s">
        <v>13</v>
      </c>
      <c r="AC89" s="143"/>
      <c r="AD89" s="148"/>
      <c r="AE89" s="148"/>
      <c r="AF89" s="149"/>
      <c r="AG89" s="149"/>
      <c r="AH89" s="149"/>
      <c r="AI89" s="149"/>
      <c r="AJ89" s="149"/>
      <c r="AK89" s="149"/>
      <c r="AL89" s="149"/>
    </row>
    <row r="90" spans="1:38" ht="15.75" customHeight="1" thickBot="1">
      <c r="A90" s="252"/>
      <c r="B90" s="241"/>
      <c r="C90" s="253"/>
      <c r="D90" s="253"/>
      <c r="E90" s="241"/>
      <c r="F90" s="253"/>
      <c r="G90" s="253"/>
      <c r="H90" s="241"/>
      <c r="I90" s="247"/>
      <c r="J90" s="247"/>
      <c r="K90" s="241"/>
      <c r="L90" s="10" t="str">
        <f t="shared" ref="L90:W90" si="185">TEXT(L$3, "mmm d") &amp; " - " &amp; TEXT(L$4, "mmm d")</f>
        <v>Aug 11 - Aug 17</v>
      </c>
      <c r="M90" s="10" t="str">
        <f t="shared" si="185"/>
        <v>Aug 18 - Aug 24</v>
      </c>
      <c r="N90" s="10" t="str">
        <f t="shared" si="185"/>
        <v>Aug 25 - Aug 31</v>
      </c>
      <c r="O90" s="10" t="str">
        <f t="shared" si="185"/>
        <v>Sep 1 - Sep 7</v>
      </c>
      <c r="P90" s="10" t="str">
        <f t="shared" si="185"/>
        <v>Sep 8 - Sep 14</v>
      </c>
      <c r="Q90" s="10" t="str">
        <f t="shared" si="185"/>
        <v>Sep 15 - Sep 21</v>
      </c>
      <c r="R90" s="10" t="str">
        <f t="shared" si="185"/>
        <v>Sep 22 - Sep 28</v>
      </c>
      <c r="S90" s="10" t="str">
        <f t="shared" si="185"/>
        <v>Sep 29 - Oct 5</v>
      </c>
      <c r="T90" s="10" t="str">
        <f t="shared" si="185"/>
        <v>Oct 6 - Oct 12</v>
      </c>
      <c r="U90" s="10" t="str">
        <f t="shared" si="185"/>
        <v>Oct 13 - Oct 19</v>
      </c>
      <c r="V90" s="10" t="str">
        <f t="shared" si="185"/>
        <v>Oct 20 - Oct 26</v>
      </c>
      <c r="W90" s="10" t="str">
        <f t="shared" si="185"/>
        <v>Oct 27 - Nov 3</v>
      </c>
      <c r="X90" s="241"/>
      <c r="Y90" s="241"/>
      <c r="Z90" s="241"/>
      <c r="AA90" s="241"/>
      <c r="AB90" s="243"/>
      <c r="AC90" s="143"/>
      <c r="AD90" s="148"/>
      <c r="AE90" s="150" t="s">
        <v>438</v>
      </c>
      <c r="AF90" s="150" t="s">
        <v>439</v>
      </c>
      <c r="AG90" s="151" t="s">
        <v>749</v>
      </c>
      <c r="AH90" s="150" t="s">
        <v>440</v>
      </c>
      <c r="AI90" s="150" t="s">
        <v>2</v>
      </c>
      <c r="AJ90" s="150" t="s">
        <v>15</v>
      </c>
      <c r="AK90" s="149"/>
      <c r="AL90" s="149"/>
    </row>
    <row r="91" spans="1:38" ht="15.75" customHeight="1" thickTop="1">
      <c r="A91" s="17"/>
      <c r="B91" s="17"/>
      <c r="C91" s="17"/>
      <c r="D91" s="17"/>
      <c r="E91" s="14"/>
      <c r="F91" s="14"/>
      <c r="G91" s="14"/>
      <c r="H91" s="14" t="s">
        <v>57</v>
      </c>
      <c r="I91" s="233"/>
      <c r="J91" s="237" t="s">
        <v>436</v>
      </c>
      <c r="K91" s="152"/>
      <c r="L91" s="88">
        <f>(L93*1000)/$A92</f>
        <v>0</v>
      </c>
      <c r="M91" s="88">
        <f t="shared" ref="M91:W91" si="186">(M93*1000)/$A92</f>
        <v>0</v>
      </c>
      <c r="N91" s="88">
        <f t="shared" si="186"/>
        <v>0</v>
      </c>
      <c r="O91" s="88">
        <f t="shared" ref="O91:P91" si="187">(O93*1000)/$A92</f>
        <v>0</v>
      </c>
      <c r="P91" s="88">
        <f t="shared" si="187"/>
        <v>0</v>
      </c>
      <c r="Q91" s="88">
        <f t="shared" ref="Q91" si="188">(Q93*1000)/$A92</f>
        <v>0</v>
      </c>
      <c r="R91" s="88">
        <f t="shared" si="186"/>
        <v>0</v>
      </c>
      <c r="S91" s="88">
        <f t="shared" si="186"/>
        <v>0</v>
      </c>
      <c r="T91" s="88">
        <f t="shared" si="186"/>
        <v>0</v>
      </c>
      <c r="U91" s="88">
        <f t="shared" si="186"/>
        <v>0</v>
      </c>
      <c r="V91" s="88">
        <f t="shared" si="186"/>
        <v>0</v>
      </c>
      <c r="W91" s="88">
        <f t="shared" si="186"/>
        <v>0</v>
      </c>
      <c r="X91" s="92"/>
      <c r="Y91" s="88">
        <f t="shared" ref="Y91:Y96" si="189">SUM(L91:W91)</f>
        <v>0</v>
      </c>
      <c r="Z91" s="92"/>
      <c r="AA91" s="244">
        <f>IFERROR($Y93/$Y$100, 0)</f>
        <v>0</v>
      </c>
      <c r="AB91" s="245">
        <f>IFERROR($Y93/$Y$398, 0)</f>
        <v>0</v>
      </c>
      <c r="AC91" s="145"/>
      <c r="AD91" s="146"/>
      <c r="AE91" s="146"/>
      <c r="AF91" s="147"/>
      <c r="AG91" s="147"/>
      <c r="AH91" s="147"/>
      <c r="AI91" s="147"/>
      <c r="AJ91" s="147"/>
      <c r="AK91" s="147"/>
      <c r="AL91" s="147"/>
    </row>
    <row r="92" spans="1:38" ht="15.75" customHeight="1">
      <c r="A92" s="17">
        <f>VLOOKUP($E92,'Digital Targeting'!$B$524:$E$892,4,FALSE)</f>
        <v>17.649999999999999</v>
      </c>
      <c r="B92" s="17"/>
      <c r="C92" s="95"/>
      <c r="D92" s="95"/>
      <c r="E92" s="14" t="s">
        <v>447</v>
      </c>
      <c r="F92" s="99"/>
      <c r="G92" s="88" t="e">
        <f>VLOOKUP($F92,'Digital Targeting'!$A$21:$G$100,5,FALSE)*I92</f>
        <v>#N/A</v>
      </c>
      <c r="H92" s="14" t="s">
        <v>420</v>
      </c>
      <c r="I92" s="235" t="e">
        <f>VLOOKUP(F92,'Digital Targeting'!$A$21:$M$214,13,FALSE)</f>
        <v>#N/A</v>
      </c>
      <c r="J92" s="237"/>
      <c r="K92" s="152"/>
      <c r="L92" s="89">
        <f>IFERROR(L91/$G92,0)</f>
        <v>0</v>
      </c>
      <c r="M92" s="89">
        <f t="shared" ref="M92" si="190">IFERROR(M91/$G92,0)</f>
        <v>0</v>
      </c>
      <c r="N92" s="89">
        <f t="shared" ref="N92" si="191">IFERROR(N91/$G92,0)</f>
        <v>0</v>
      </c>
      <c r="O92" s="89">
        <f t="shared" ref="O92" si="192">IFERROR(O91/$G92,0)</f>
        <v>0</v>
      </c>
      <c r="P92" s="89">
        <f t="shared" ref="P92" si="193">IFERROR(P91/$G92,0)</f>
        <v>0</v>
      </c>
      <c r="Q92" s="89">
        <f t="shared" ref="Q92" si="194">IFERROR(Q91/$G92,0)</f>
        <v>0</v>
      </c>
      <c r="R92" s="89">
        <f t="shared" ref="R92" si="195">IFERROR(R91/$G92,0)</f>
        <v>0</v>
      </c>
      <c r="S92" s="89">
        <f t="shared" ref="S92" si="196">IFERROR(S91/$G92,0)</f>
        <v>0</v>
      </c>
      <c r="T92" s="89">
        <f t="shared" ref="T92" si="197">IFERROR(T91/$G92,0)</f>
        <v>0</v>
      </c>
      <c r="U92" s="89">
        <f t="shared" ref="U92" si="198">IFERROR(U91/$G92,0)</f>
        <v>0</v>
      </c>
      <c r="V92" s="89">
        <f t="shared" ref="V92" si="199">IFERROR(V91/$G92,0)</f>
        <v>0</v>
      </c>
      <c r="W92" s="89">
        <f t="shared" ref="W92" si="200">IFERROR(W91/$G92,0)</f>
        <v>0</v>
      </c>
      <c r="X92" s="92"/>
      <c r="Y92" s="90">
        <f t="shared" si="189"/>
        <v>0</v>
      </c>
      <c r="Z92" s="92"/>
      <c r="AA92" s="238"/>
      <c r="AB92" s="239"/>
      <c r="AC92" s="145"/>
      <c r="AD92" s="146"/>
      <c r="AE92" s="153" t="e">
        <f>G92/1000</f>
        <v>#N/A</v>
      </c>
      <c r="AF92" s="153">
        <v>5</v>
      </c>
      <c r="AG92" s="153" t="e">
        <f>AF92*AE92</f>
        <v>#N/A</v>
      </c>
      <c r="AH92" s="154">
        <f>$A92</f>
        <v>17.649999999999999</v>
      </c>
      <c r="AI92" s="155">
        <f>($F$2-$F$3+1)/7</f>
        <v>12</v>
      </c>
      <c r="AJ92" s="154" t="e">
        <f>(AG92*AH92)/AI92</f>
        <v>#N/A</v>
      </c>
      <c r="AK92" s="147"/>
      <c r="AL92" s="147"/>
    </row>
    <row r="93" spans="1:38" ht="15.75" customHeight="1">
      <c r="F93" s="156"/>
      <c r="G93" s="22"/>
      <c r="H93" s="14" t="s">
        <v>15</v>
      </c>
      <c r="I93" s="233"/>
      <c r="J93" s="237"/>
      <c r="K93" s="152"/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92"/>
      <c r="Y93" s="20">
        <f t="shared" si="189"/>
        <v>0</v>
      </c>
      <c r="Z93" s="92"/>
      <c r="AA93" s="238"/>
      <c r="AB93" s="239"/>
      <c r="AC93" s="145"/>
      <c r="AD93" s="146"/>
      <c r="AE93" s="146"/>
      <c r="AF93" s="147"/>
      <c r="AG93" s="147"/>
      <c r="AH93" s="147"/>
      <c r="AI93" s="147"/>
      <c r="AJ93" s="147"/>
      <c r="AK93" s="147"/>
      <c r="AL93" s="147"/>
    </row>
    <row r="94" spans="1:38" ht="15.75" customHeight="1">
      <c r="A94" s="17"/>
      <c r="B94" s="17"/>
      <c r="C94" s="17"/>
      <c r="D94" s="17"/>
      <c r="E94" s="14"/>
      <c r="F94" s="100"/>
      <c r="G94" s="14"/>
      <c r="H94" s="14" t="s">
        <v>57</v>
      </c>
      <c r="I94" s="233"/>
      <c r="J94" s="237" t="s">
        <v>436</v>
      </c>
      <c r="K94" s="152"/>
      <c r="L94" s="88">
        <f>(L96*1000)/$A95</f>
        <v>0</v>
      </c>
      <c r="M94" s="88">
        <f t="shared" ref="M94:W94" si="201">(M96*1000)/$A95</f>
        <v>0</v>
      </c>
      <c r="N94" s="88">
        <f t="shared" si="201"/>
        <v>0</v>
      </c>
      <c r="O94" s="88">
        <f t="shared" ref="O94:P94" si="202">(O96*1000)/$A95</f>
        <v>0</v>
      </c>
      <c r="P94" s="88">
        <f t="shared" si="202"/>
        <v>0</v>
      </c>
      <c r="Q94" s="88">
        <f t="shared" ref="Q94" si="203">(Q96*1000)/$A95</f>
        <v>0</v>
      </c>
      <c r="R94" s="88">
        <f t="shared" si="201"/>
        <v>0</v>
      </c>
      <c r="S94" s="88">
        <f t="shared" si="201"/>
        <v>0</v>
      </c>
      <c r="T94" s="88">
        <f t="shared" si="201"/>
        <v>0</v>
      </c>
      <c r="U94" s="88">
        <f t="shared" si="201"/>
        <v>0</v>
      </c>
      <c r="V94" s="88">
        <f t="shared" si="201"/>
        <v>0</v>
      </c>
      <c r="W94" s="88">
        <f t="shared" si="201"/>
        <v>0</v>
      </c>
      <c r="X94" s="92"/>
      <c r="Y94" s="88">
        <f t="shared" si="189"/>
        <v>0</v>
      </c>
      <c r="Z94" s="92"/>
      <c r="AA94" s="238">
        <f>IFERROR($Y96/$Y$100, 0)</f>
        <v>0</v>
      </c>
      <c r="AB94" s="239">
        <f>IFERROR($Y96/$Y$398, 0)</f>
        <v>0</v>
      </c>
      <c r="AC94" s="145"/>
      <c r="AD94" s="146"/>
      <c r="AE94" s="146"/>
      <c r="AF94" s="147"/>
      <c r="AG94" s="147"/>
      <c r="AH94" s="147"/>
      <c r="AI94" s="147"/>
      <c r="AJ94" s="147"/>
      <c r="AK94" s="147"/>
      <c r="AL94" s="147"/>
    </row>
    <row r="95" spans="1:38" ht="15.75" customHeight="1">
      <c r="A95" s="17">
        <f>VLOOKUP($E95,'Digital Targeting'!$B$524:$E$892,4,FALSE)</f>
        <v>17.649999999999999</v>
      </c>
      <c r="B95" s="17"/>
      <c r="C95" s="95"/>
      <c r="D95" s="95"/>
      <c r="E95" s="14" t="s">
        <v>447</v>
      </c>
      <c r="F95" s="99"/>
      <c r="G95" s="88" t="e">
        <f>VLOOKUP($F95,'Digital Targeting'!$A$21:$G$100,5,FALSE)*I95</f>
        <v>#N/A</v>
      </c>
      <c r="H95" s="14" t="s">
        <v>420</v>
      </c>
      <c r="I95" s="235" t="e">
        <f>VLOOKUP(F95,'Digital Targeting'!$A$21:$M$214,13,FALSE)</f>
        <v>#N/A</v>
      </c>
      <c r="J95" s="237"/>
      <c r="K95" s="152"/>
      <c r="L95" s="89">
        <f>IFERROR(L94/$G95,0)</f>
        <v>0</v>
      </c>
      <c r="M95" s="89">
        <f t="shared" ref="M95" si="204">IFERROR(M94/$G95,0)</f>
        <v>0</v>
      </c>
      <c r="N95" s="89">
        <f t="shared" ref="N95" si="205">IFERROR(N94/$G95,0)</f>
        <v>0</v>
      </c>
      <c r="O95" s="89">
        <f t="shared" ref="O95" si="206">IFERROR(O94/$G95,0)</f>
        <v>0</v>
      </c>
      <c r="P95" s="89">
        <f t="shared" ref="P95" si="207">IFERROR(P94/$G95,0)</f>
        <v>0</v>
      </c>
      <c r="Q95" s="89">
        <f t="shared" ref="Q95" si="208">IFERROR(Q94/$G95,0)</f>
        <v>0</v>
      </c>
      <c r="R95" s="89">
        <f t="shared" ref="R95" si="209">IFERROR(R94/$G95,0)</f>
        <v>0</v>
      </c>
      <c r="S95" s="89">
        <f t="shared" ref="S95" si="210">IFERROR(S94/$G95,0)</f>
        <v>0</v>
      </c>
      <c r="T95" s="89">
        <f t="shared" ref="T95" si="211">IFERROR(T94/$G95,0)</f>
        <v>0</v>
      </c>
      <c r="U95" s="89">
        <f t="shared" ref="U95" si="212">IFERROR(U94/$G95,0)</f>
        <v>0</v>
      </c>
      <c r="V95" s="89">
        <f t="shared" ref="V95" si="213">IFERROR(V94/$G95,0)</f>
        <v>0</v>
      </c>
      <c r="W95" s="89">
        <f t="shared" ref="W95" si="214">IFERROR(W94/$G95,0)</f>
        <v>0</v>
      </c>
      <c r="X95" s="92"/>
      <c r="Y95" s="90">
        <f t="shared" si="189"/>
        <v>0</v>
      </c>
      <c r="Z95" s="92"/>
      <c r="AA95" s="238"/>
      <c r="AB95" s="239"/>
      <c r="AC95" s="145"/>
      <c r="AD95" s="146"/>
      <c r="AE95" s="153" t="e">
        <f>G95/1000</f>
        <v>#N/A</v>
      </c>
      <c r="AF95" s="153">
        <v>5</v>
      </c>
      <c r="AG95" s="153" t="e">
        <f>AF95*AE95</f>
        <v>#N/A</v>
      </c>
      <c r="AH95" s="154">
        <f>$A95</f>
        <v>17.649999999999999</v>
      </c>
      <c r="AI95" s="155">
        <f>($F$2-$F$3+1)/7</f>
        <v>12</v>
      </c>
      <c r="AJ95" s="154" t="e">
        <f>(AG95*AH95)/AI95</f>
        <v>#N/A</v>
      </c>
      <c r="AK95" s="147"/>
      <c r="AL95" s="147"/>
    </row>
    <row r="96" spans="1:38" ht="15.75" customHeight="1">
      <c r="F96" s="156"/>
      <c r="G96" s="22"/>
      <c r="H96" s="14" t="s">
        <v>15</v>
      </c>
      <c r="I96" s="233"/>
      <c r="J96" s="237"/>
      <c r="K96" s="152"/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92"/>
      <c r="Y96" s="20">
        <f t="shared" si="189"/>
        <v>0</v>
      </c>
      <c r="Z96" s="92"/>
      <c r="AA96" s="238"/>
      <c r="AB96" s="239"/>
      <c r="AC96" s="145"/>
      <c r="AD96" s="146"/>
      <c r="AE96" s="146"/>
      <c r="AF96" s="147"/>
      <c r="AG96" s="147"/>
      <c r="AH96" s="147"/>
      <c r="AI96" s="147"/>
      <c r="AJ96" s="147"/>
      <c r="AK96" s="147"/>
      <c r="AL96" s="147"/>
    </row>
    <row r="97" spans="1:38" ht="15.75" customHeight="1">
      <c r="A97" s="17"/>
      <c r="B97" s="17"/>
      <c r="C97" s="17"/>
      <c r="D97" s="17"/>
      <c r="E97" s="14"/>
      <c r="F97" s="14"/>
      <c r="G97" s="14"/>
      <c r="H97" s="14"/>
      <c r="I97" s="126"/>
      <c r="J97" s="126"/>
      <c r="K97" s="92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92"/>
      <c r="Y97" s="20"/>
      <c r="Z97" s="92"/>
      <c r="AA97" s="23"/>
      <c r="AB97" s="24"/>
      <c r="AC97" s="145"/>
      <c r="AD97" s="146"/>
      <c r="AE97" s="146"/>
      <c r="AF97" s="147"/>
      <c r="AG97" s="147"/>
      <c r="AH97" s="147"/>
      <c r="AI97" s="147"/>
      <c r="AJ97" s="147"/>
      <c r="AK97" s="147"/>
      <c r="AL97" s="147"/>
    </row>
    <row r="98" spans="1:38" ht="15.75" customHeight="1">
      <c r="A98" s="210">
        <v>0.55000000000000004</v>
      </c>
      <c r="E98" s="106" t="s">
        <v>429</v>
      </c>
      <c r="F98" s="94"/>
      <c r="G98" s="94"/>
      <c r="H98" s="211" t="s">
        <v>748</v>
      </c>
      <c r="I98" s="126"/>
      <c r="J98" s="126"/>
      <c r="K98" s="92"/>
      <c r="L98" s="212">
        <f t="shared" ref="L98:W98" si="215">(SUMIFS(L$90:L$102, $H$90:$H$102, "IMPs", $J$90:$J$102, "Yes") / 1000 * 0.55)</f>
        <v>0</v>
      </c>
      <c r="M98" s="212">
        <f t="shared" si="215"/>
        <v>0</v>
      </c>
      <c r="N98" s="212">
        <f t="shared" si="215"/>
        <v>0</v>
      </c>
      <c r="O98" s="212">
        <f t="shared" si="215"/>
        <v>0</v>
      </c>
      <c r="P98" s="212">
        <f t="shared" si="215"/>
        <v>0</v>
      </c>
      <c r="Q98" s="212">
        <f t="shared" si="215"/>
        <v>0</v>
      </c>
      <c r="R98" s="212">
        <f t="shared" si="215"/>
        <v>0</v>
      </c>
      <c r="S98" s="212">
        <f t="shared" si="215"/>
        <v>0</v>
      </c>
      <c r="T98" s="212">
        <f t="shared" si="215"/>
        <v>0</v>
      </c>
      <c r="U98" s="212">
        <f t="shared" si="215"/>
        <v>0</v>
      </c>
      <c r="V98" s="212">
        <f t="shared" si="215"/>
        <v>0</v>
      </c>
      <c r="W98" s="212">
        <f t="shared" si="215"/>
        <v>0</v>
      </c>
      <c r="X98" s="213"/>
      <c r="Y98" s="214">
        <f>SUM(L98:W98)</f>
        <v>0</v>
      </c>
      <c r="Z98" s="92"/>
      <c r="AA98" s="215">
        <f>IFERROR(Y98/Y100,0)</f>
        <v>0</v>
      </c>
      <c r="AB98" s="216">
        <f>IFERROR(Y98/Y$398,0)</f>
        <v>0</v>
      </c>
      <c r="AC98" s="145"/>
      <c r="AD98" s="146"/>
      <c r="AE98" s="146"/>
      <c r="AF98" s="147"/>
      <c r="AG98" s="147"/>
      <c r="AH98" s="147"/>
      <c r="AI98" s="147"/>
      <c r="AJ98" s="147"/>
      <c r="AK98" s="147"/>
      <c r="AL98" s="147"/>
    </row>
    <row r="99" spans="1:38" ht="15.75" customHeight="1">
      <c r="A99" s="17"/>
      <c r="B99" s="17"/>
      <c r="C99" s="17"/>
      <c r="D99" s="17"/>
      <c r="E99" s="14"/>
      <c r="F99" s="14"/>
      <c r="G99" s="14"/>
      <c r="H99" s="14"/>
      <c r="I99" s="126"/>
      <c r="J99" s="126"/>
      <c r="K99" s="92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92"/>
      <c r="Y99" s="20"/>
      <c r="Z99" s="92"/>
      <c r="AA99" s="23"/>
      <c r="AB99" s="24"/>
      <c r="AC99" s="145"/>
      <c r="AD99" s="146"/>
      <c r="AE99" s="146"/>
      <c r="AF99" s="147"/>
      <c r="AG99" s="147"/>
      <c r="AH99" s="147"/>
      <c r="AI99" s="147"/>
      <c r="AJ99" s="147"/>
      <c r="AK99" s="147"/>
      <c r="AL99" s="147"/>
    </row>
    <row r="100" spans="1:38" ht="15.75" customHeight="1">
      <c r="A100" s="17"/>
      <c r="B100" s="17"/>
      <c r="C100" s="17"/>
      <c r="D100" s="17"/>
      <c r="E100" s="25" t="s">
        <v>113</v>
      </c>
      <c r="F100" s="18"/>
      <c r="G100" s="22"/>
      <c r="H100" s="14" t="s">
        <v>11</v>
      </c>
      <c r="I100" s="126"/>
      <c r="J100" s="126"/>
      <c r="K100" s="92"/>
      <c r="L100" s="26">
        <f>SUMIF($H90:$H102,"$$$",L$90:L$102)+L98</f>
        <v>0</v>
      </c>
      <c r="M100" s="26">
        <f t="shared" ref="M100:W100" si="216">SUMIF($H90:$H102,"$$$",M$90:M$102)+M98</f>
        <v>0</v>
      </c>
      <c r="N100" s="26">
        <f t="shared" si="216"/>
        <v>0</v>
      </c>
      <c r="O100" s="26">
        <f t="shared" si="216"/>
        <v>0</v>
      </c>
      <c r="P100" s="26">
        <f t="shared" si="216"/>
        <v>0</v>
      </c>
      <c r="Q100" s="26">
        <f t="shared" si="216"/>
        <v>0</v>
      </c>
      <c r="R100" s="26">
        <f t="shared" si="216"/>
        <v>0</v>
      </c>
      <c r="S100" s="26">
        <f t="shared" si="216"/>
        <v>0</v>
      </c>
      <c r="T100" s="26">
        <f t="shared" si="216"/>
        <v>0</v>
      </c>
      <c r="U100" s="26">
        <f t="shared" si="216"/>
        <v>0</v>
      </c>
      <c r="V100" s="26">
        <f t="shared" si="216"/>
        <v>0</v>
      </c>
      <c r="W100" s="26">
        <f t="shared" si="216"/>
        <v>0</v>
      </c>
      <c r="X100" s="92"/>
      <c r="Y100" s="26">
        <f>SUM(L100:W100)</f>
        <v>0</v>
      </c>
      <c r="Z100" s="92"/>
      <c r="AA100" s="28">
        <f>IFERROR($Y100/$Y$100, 0)</f>
        <v>0</v>
      </c>
      <c r="AB100" s="29">
        <f>IFERROR($Y100/$Y$398, 0)</f>
        <v>0</v>
      </c>
      <c r="AC100" s="145"/>
      <c r="AD100" s="146"/>
      <c r="AE100" s="146"/>
      <c r="AF100" s="147"/>
      <c r="AG100" s="147"/>
      <c r="AH100" s="147"/>
      <c r="AI100" s="147"/>
      <c r="AJ100" s="147"/>
      <c r="AK100" s="147"/>
      <c r="AL100" s="147"/>
    </row>
    <row r="101" spans="1:38" ht="15.75" customHeight="1" thickBot="1">
      <c r="A101" s="135"/>
      <c r="B101" s="135"/>
      <c r="C101" s="135"/>
      <c r="D101" s="135"/>
      <c r="E101" s="136" t="s">
        <v>114</v>
      </c>
      <c r="F101" s="137"/>
      <c r="G101" s="138"/>
      <c r="H101" s="139" t="s">
        <v>417</v>
      </c>
      <c r="I101" s="140"/>
      <c r="J101" s="140"/>
      <c r="K101" s="141"/>
      <c r="L101" s="142">
        <f t="shared" ref="L101:W101" si="217">L100*(1-(0.15-$H$3))</f>
        <v>0</v>
      </c>
      <c r="M101" s="142">
        <f t="shared" si="217"/>
        <v>0</v>
      </c>
      <c r="N101" s="142">
        <f t="shared" si="217"/>
        <v>0</v>
      </c>
      <c r="O101" s="142">
        <f t="shared" ref="O101:P101" si="218">O100*(1-(0.15-$H$3))</f>
        <v>0</v>
      </c>
      <c r="P101" s="142">
        <f t="shared" si="218"/>
        <v>0</v>
      </c>
      <c r="Q101" s="142">
        <f t="shared" ref="Q101" si="219">Q100*(1-(0.15-$H$3))</f>
        <v>0</v>
      </c>
      <c r="R101" s="142">
        <f t="shared" si="217"/>
        <v>0</v>
      </c>
      <c r="S101" s="142">
        <f t="shared" si="217"/>
        <v>0</v>
      </c>
      <c r="T101" s="142">
        <f t="shared" si="217"/>
        <v>0</v>
      </c>
      <c r="U101" s="142">
        <f t="shared" si="217"/>
        <v>0</v>
      </c>
      <c r="V101" s="142">
        <f t="shared" si="217"/>
        <v>0</v>
      </c>
      <c r="W101" s="142">
        <f t="shared" si="217"/>
        <v>0</v>
      </c>
      <c r="X101" s="141"/>
      <c r="Y101" s="142">
        <f>SUM(L101:W101)</f>
        <v>0</v>
      </c>
      <c r="Z101" s="141"/>
      <c r="AA101" s="143"/>
      <c r="AB101" s="144"/>
      <c r="AC101" s="145"/>
      <c r="AD101" s="146"/>
      <c r="AE101" s="146"/>
      <c r="AF101" s="147"/>
      <c r="AG101" s="147"/>
      <c r="AH101" s="147"/>
      <c r="AI101" s="147"/>
      <c r="AJ101" s="147"/>
      <c r="AK101" s="147"/>
      <c r="AL101" s="147"/>
    </row>
    <row r="102" spans="1:38" ht="24.75" customHeight="1" thickTop="1">
      <c r="A102" s="251" t="s">
        <v>39</v>
      </c>
      <c r="B102" s="240" t="s">
        <v>40</v>
      </c>
      <c r="C102" s="240" t="s">
        <v>41</v>
      </c>
      <c r="D102" s="240" t="s">
        <v>42</v>
      </c>
      <c r="E102" s="240" t="s">
        <v>43</v>
      </c>
      <c r="F102" s="240" t="s">
        <v>746</v>
      </c>
      <c r="G102" s="240" t="s">
        <v>44</v>
      </c>
      <c r="H102" s="240"/>
      <c r="I102" s="246"/>
      <c r="J102" s="246" t="s">
        <v>435</v>
      </c>
      <c r="K102" s="240"/>
      <c r="L102" s="6" t="str">
        <f t="shared" ref="L102:W102" si="220">CONCATENATE("Week ",L$2)</f>
        <v>Week 12</v>
      </c>
      <c r="M102" s="6" t="str">
        <f t="shared" si="220"/>
        <v>Week 11</v>
      </c>
      <c r="N102" s="6" t="str">
        <f t="shared" si="220"/>
        <v>Week 10</v>
      </c>
      <c r="O102" s="6" t="str">
        <f t="shared" si="220"/>
        <v>Week 9</v>
      </c>
      <c r="P102" s="6" t="str">
        <f t="shared" si="220"/>
        <v>Week 8</v>
      </c>
      <c r="Q102" s="6" t="str">
        <f t="shared" si="220"/>
        <v>Week 7</v>
      </c>
      <c r="R102" s="6" t="str">
        <f t="shared" si="220"/>
        <v>Week 6</v>
      </c>
      <c r="S102" s="6" t="str">
        <f t="shared" si="220"/>
        <v>Week 5</v>
      </c>
      <c r="T102" s="6" t="str">
        <f t="shared" si="220"/>
        <v>Week 4</v>
      </c>
      <c r="U102" s="6" t="str">
        <f t="shared" si="220"/>
        <v>Week 3</v>
      </c>
      <c r="V102" s="6" t="str">
        <f t="shared" si="220"/>
        <v>Week 2</v>
      </c>
      <c r="W102" s="6" t="str">
        <f t="shared" si="220"/>
        <v>Week 1</v>
      </c>
      <c r="X102" s="240"/>
      <c r="Y102" s="240" t="s">
        <v>11</v>
      </c>
      <c r="Z102" s="240"/>
      <c r="AA102" s="240" t="s">
        <v>45</v>
      </c>
      <c r="AB102" s="242" t="s">
        <v>13</v>
      </c>
      <c r="AC102" s="123"/>
      <c r="AD102" s="7"/>
      <c r="AE102" s="7"/>
      <c r="AF102" s="8"/>
      <c r="AG102" s="8"/>
      <c r="AH102" s="8"/>
      <c r="AI102" s="8"/>
      <c r="AJ102" s="8"/>
      <c r="AK102" s="8"/>
      <c r="AL102" s="8"/>
    </row>
    <row r="103" spans="1:38" ht="15.75" customHeight="1" thickBot="1">
      <c r="A103" s="252"/>
      <c r="B103" s="241"/>
      <c r="C103" s="241"/>
      <c r="D103" s="241"/>
      <c r="E103" s="241"/>
      <c r="F103" s="241"/>
      <c r="G103" s="241"/>
      <c r="H103" s="241"/>
      <c r="I103" s="247"/>
      <c r="J103" s="247"/>
      <c r="K103" s="241"/>
      <c r="L103" s="10" t="str">
        <f t="shared" ref="L103:W103" si="221">TEXT(L$3, "mmm d") &amp; " - " &amp; TEXT(L$4, "mmm d")</f>
        <v>Aug 11 - Aug 17</v>
      </c>
      <c r="M103" s="10" t="str">
        <f t="shared" si="221"/>
        <v>Aug 18 - Aug 24</v>
      </c>
      <c r="N103" s="10" t="str">
        <f t="shared" si="221"/>
        <v>Aug 25 - Aug 31</v>
      </c>
      <c r="O103" s="10" t="str">
        <f t="shared" si="221"/>
        <v>Sep 1 - Sep 7</v>
      </c>
      <c r="P103" s="10" t="str">
        <f t="shared" si="221"/>
        <v>Sep 8 - Sep 14</v>
      </c>
      <c r="Q103" s="10" t="str">
        <f t="shared" si="221"/>
        <v>Sep 15 - Sep 21</v>
      </c>
      <c r="R103" s="10" t="str">
        <f t="shared" si="221"/>
        <v>Sep 22 - Sep 28</v>
      </c>
      <c r="S103" s="10" t="str">
        <f t="shared" si="221"/>
        <v>Sep 29 - Oct 5</v>
      </c>
      <c r="T103" s="10" t="str">
        <f t="shared" si="221"/>
        <v>Oct 6 - Oct 12</v>
      </c>
      <c r="U103" s="10" t="str">
        <f t="shared" si="221"/>
        <v>Oct 13 - Oct 19</v>
      </c>
      <c r="V103" s="10" t="str">
        <f t="shared" si="221"/>
        <v>Oct 20 - Oct 26</v>
      </c>
      <c r="W103" s="10" t="str">
        <f t="shared" si="221"/>
        <v>Oct 27 - Nov 3</v>
      </c>
      <c r="X103" s="241"/>
      <c r="Y103" s="241"/>
      <c r="Z103" s="241"/>
      <c r="AA103" s="241"/>
      <c r="AB103" s="243"/>
      <c r="AC103" s="11"/>
      <c r="AD103" s="7"/>
      <c r="AE103" s="7"/>
      <c r="AF103" s="8"/>
      <c r="AG103" s="8"/>
      <c r="AH103" s="8"/>
      <c r="AI103" s="8"/>
      <c r="AJ103" s="8"/>
      <c r="AK103" s="8"/>
      <c r="AL103" s="8"/>
    </row>
    <row r="104" spans="1:38" ht="15.75" customHeight="1" thickTop="1">
      <c r="A104" s="12"/>
      <c r="B104" s="12"/>
      <c r="C104" s="12"/>
      <c r="D104" s="12"/>
      <c r="E104" s="13" t="s">
        <v>16</v>
      </c>
      <c r="F104" s="31"/>
      <c r="G104" s="31"/>
      <c r="H104" s="14" t="s">
        <v>46</v>
      </c>
      <c r="I104" s="233"/>
      <c r="J104" s="237" t="s">
        <v>437</v>
      </c>
      <c r="K104" s="92"/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92"/>
      <c r="Y104" s="15">
        <f t="shared" ref="Y104:Y109" si="222">SUM(L104:W104)</f>
        <v>0</v>
      </c>
      <c r="Z104" s="92"/>
      <c r="AA104" s="256">
        <f>IFERROR($Y105/$Y$191, 0)</f>
        <v>0</v>
      </c>
      <c r="AB104" s="239">
        <f>IFERROR($Y105/$Y$398, 0)</f>
        <v>0</v>
      </c>
      <c r="AC104" s="16"/>
      <c r="AD104" s="3"/>
      <c r="AE104" s="3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7">
        <v>100</v>
      </c>
      <c r="B105" s="17">
        <v>200</v>
      </c>
      <c r="C105" s="17">
        <v>300</v>
      </c>
      <c r="D105" s="17">
        <v>400</v>
      </c>
      <c r="E105" s="14"/>
      <c r="F105" s="18"/>
      <c r="G105" s="18"/>
      <c r="H105" s="14" t="s">
        <v>15</v>
      </c>
      <c r="I105" s="233"/>
      <c r="J105" s="237"/>
      <c r="K105" s="92"/>
      <c r="L105" s="19">
        <f t="shared" ref="L105" si="223">$A105*L104</f>
        <v>0</v>
      </c>
      <c r="M105" s="19">
        <f t="shared" ref="M105:R105" si="224">$B105*M104</f>
        <v>0</v>
      </c>
      <c r="N105" s="19">
        <f t="shared" si="224"/>
        <v>0</v>
      </c>
      <c r="O105" s="19">
        <f t="shared" ref="O105:P105" si="225">$B105*O104</f>
        <v>0</v>
      </c>
      <c r="P105" s="19">
        <f t="shared" si="225"/>
        <v>0</v>
      </c>
      <c r="Q105" s="19">
        <f t="shared" ref="Q105" si="226">$B105*Q104</f>
        <v>0</v>
      </c>
      <c r="R105" s="19">
        <f t="shared" si="224"/>
        <v>0</v>
      </c>
      <c r="S105" s="19">
        <f t="shared" ref="S105:U105" si="227">$C105*S104</f>
        <v>0</v>
      </c>
      <c r="T105" s="19">
        <f t="shared" si="227"/>
        <v>0</v>
      </c>
      <c r="U105" s="19">
        <f t="shared" si="227"/>
        <v>0</v>
      </c>
      <c r="V105" s="19">
        <f t="shared" ref="V105:W105" si="228">$D105*V104</f>
        <v>0</v>
      </c>
      <c r="W105" s="19">
        <f t="shared" si="228"/>
        <v>0</v>
      </c>
      <c r="X105" s="92"/>
      <c r="Y105" s="20">
        <f t="shared" si="222"/>
        <v>0</v>
      </c>
      <c r="Z105" s="92"/>
      <c r="AA105" s="257"/>
      <c r="AB105" s="258"/>
      <c r="AC105" s="21"/>
      <c r="AD105" s="3"/>
      <c r="AE105" s="3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7"/>
      <c r="B106" s="17"/>
      <c r="C106" s="17"/>
      <c r="D106" s="17"/>
      <c r="E106" s="13"/>
      <c r="F106" s="18"/>
      <c r="G106" s="18"/>
      <c r="H106" s="14" t="s">
        <v>46</v>
      </c>
      <c r="I106" s="233"/>
      <c r="J106" s="237" t="s">
        <v>437</v>
      </c>
      <c r="K106" s="92"/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92"/>
      <c r="Y106" s="15">
        <f t="shared" si="222"/>
        <v>0</v>
      </c>
      <c r="Z106" s="92"/>
      <c r="AA106" s="256">
        <f>IFERROR($Y107/$Y$191, 0)</f>
        <v>0</v>
      </c>
      <c r="AB106" s="239">
        <f>IFERROR($Y107/$Y$398, 0)</f>
        <v>0</v>
      </c>
      <c r="AC106" s="16"/>
      <c r="AD106" s="3"/>
      <c r="AE106" s="3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7">
        <v>100</v>
      </c>
      <c r="B107" s="17">
        <v>200</v>
      </c>
      <c r="C107" s="17">
        <v>300</v>
      </c>
      <c r="D107" s="17">
        <v>400</v>
      </c>
      <c r="E107" s="14"/>
      <c r="F107" s="18"/>
      <c r="G107" s="18"/>
      <c r="H107" s="14" t="s">
        <v>15</v>
      </c>
      <c r="I107" s="233"/>
      <c r="J107" s="237"/>
      <c r="K107" s="92"/>
      <c r="L107" s="19">
        <f t="shared" ref="L107" si="229">$A107*L106</f>
        <v>0</v>
      </c>
      <c r="M107" s="19">
        <f t="shared" ref="M107:R107" si="230">$B107*M106</f>
        <v>0</v>
      </c>
      <c r="N107" s="19">
        <f t="shared" si="230"/>
        <v>0</v>
      </c>
      <c r="O107" s="19">
        <f t="shared" ref="O107:P107" si="231">$B107*O106</f>
        <v>0</v>
      </c>
      <c r="P107" s="19">
        <f t="shared" si="231"/>
        <v>0</v>
      </c>
      <c r="Q107" s="19">
        <f t="shared" ref="Q107" si="232">$B107*Q106</f>
        <v>0</v>
      </c>
      <c r="R107" s="19">
        <f t="shared" si="230"/>
        <v>0</v>
      </c>
      <c r="S107" s="19">
        <f t="shared" ref="S107:U107" si="233">$C107*S106</f>
        <v>0</v>
      </c>
      <c r="T107" s="19">
        <f t="shared" si="233"/>
        <v>0</v>
      </c>
      <c r="U107" s="19">
        <f t="shared" si="233"/>
        <v>0</v>
      </c>
      <c r="V107" s="19">
        <f t="shared" ref="V107:W107" si="234">$D107*V106</f>
        <v>0</v>
      </c>
      <c r="W107" s="19">
        <f t="shared" si="234"/>
        <v>0</v>
      </c>
      <c r="X107" s="92"/>
      <c r="Y107" s="20">
        <f t="shared" si="222"/>
        <v>0</v>
      </c>
      <c r="Z107" s="92"/>
      <c r="AA107" s="257"/>
      <c r="AB107" s="258"/>
      <c r="AC107" s="16"/>
      <c r="AD107" s="3"/>
      <c r="AE107" s="3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7"/>
      <c r="B108" s="17"/>
      <c r="C108" s="17"/>
      <c r="D108" s="17"/>
      <c r="E108" s="14"/>
      <c r="F108" s="18"/>
      <c r="G108" s="18"/>
      <c r="H108" s="14" t="s">
        <v>46</v>
      </c>
      <c r="I108" s="233"/>
      <c r="J108" s="237" t="s">
        <v>437</v>
      </c>
      <c r="K108" s="92"/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92"/>
      <c r="Y108" s="15">
        <f t="shared" si="222"/>
        <v>0</v>
      </c>
      <c r="Z108" s="92"/>
      <c r="AA108" s="256">
        <f>IFERROR($Y109/$Y$191, 0)</f>
        <v>0</v>
      </c>
      <c r="AB108" s="239">
        <f>IFERROR($Y109/$Y$398, 0)</f>
        <v>0</v>
      </c>
      <c r="AC108" s="16"/>
      <c r="AD108" s="3"/>
      <c r="AE108" s="3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7">
        <v>100</v>
      </c>
      <c r="B109" s="17">
        <v>200</v>
      </c>
      <c r="C109" s="17">
        <v>300</v>
      </c>
      <c r="D109" s="17">
        <v>400</v>
      </c>
      <c r="E109" s="14"/>
      <c r="F109" s="18"/>
      <c r="G109" s="18"/>
      <c r="H109" s="14" t="s">
        <v>15</v>
      </c>
      <c r="I109" s="233"/>
      <c r="J109" s="237"/>
      <c r="K109" s="92"/>
      <c r="L109" s="19">
        <f t="shared" ref="L109" si="235">$A109*L108</f>
        <v>0</v>
      </c>
      <c r="M109" s="19">
        <f t="shared" ref="M109:R109" si="236">$B109*M108</f>
        <v>0</v>
      </c>
      <c r="N109" s="19">
        <f t="shared" si="236"/>
        <v>0</v>
      </c>
      <c r="O109" s="19">
        <f t="shared" ref="O109:P109" si="237">$B109*O108</f>
        <v>0</v>
      </c>
      <c r="P109" s="19">
        <f t="shared" si="237"/>
        <v>0</v>
      </c>
      <c r="Q109" s="19">
        <f t="shared" ref="Q109" si="238">$B109*Q108</f>
        <v>0</v>
      </c>
      <c r="R109" s="19">
        <f t="shared" si="236"/>
        <v>0</v>
      </c>
      <c r="S109" s="19">
        <f t="shared" ref="S109:U109" si="239">$C109*S108</f>
        <v>0</v>
      </c>
      <c r="T109" s="19">
        <f t="shared" si="239"/>
        <v>0</v>
      </c>
      <c r="U109" s="19">
        <f t="shared" si="239"/>
        <v>0</v>
      </c>
      <c r="V109" s="19">
        <f t="shared" ref="V109:W109" si="240">$D109*V108</f>
        <v>0</v>
      </c>
      <c r="W109" s="19">
        <f t="shared" si="240"/>
        <v>0</v>
      </c>
      <c r="X109" s="92"/>
      <c r="Y109" s="20">
        <f t="shared" si="222"/>
        <v>0</v>
      </c>
      <c r="Z109" s="92"/>
      <c r="AA109" s="257"/>
      <c r="AB109" s="258"/>
      <c r="AC109" s="16"/>
      <c r="AD109" s="3"/>
      <c r="AE109" s="3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7"/>
      <c r="B110" s="17"/>
      <c r="C110" s="17"/>
      <c r="D110" s="17"/>
      <c r="E110" s="1"/>
      <c r="F110" s="18"/>
      <c r="G110" s="18"/>
      <c r="H110" s="14"/>
      <c r="I110" s="126"/>
      <c r="J110" s="126"/>
      <c r="K110" s="92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92"/>
      <c r="Y110" s="20"/>
      <c r="Z110" s="92"/>
      <c r="AA110" s="23"/>
      <c r="AB110" s="24"/>
      <c r="AC110" s="16"/>
      <c r="AD110" s="3"/>
      <c r="AE110" s="3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7"/>
      <c r="B111" s="17"/>
      <c r="C111" s="17"/>
      <c r="D111" s="17"/>
      <c r="E111" s="13" t="s">
        <v>17</v>
      </c>
      <c r="F111" s="18"/>
      <c r="G111" s="18"/>
      <c r="H111" s="14" t="s">
        <v>46</v>
      </c>
      <c r="I111" s="233"/>
      <c r="J111" s="237" t="s">
        <v>437</v>
      </c>
      <c r="K111" s="92"/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92"/>
      <c r="Y111" s="15">
        <f t="shared" ref="Y111:Y116" si="241">SUM(L111:W111)</f>
        <v>0</v>
      </c>
      <c r="Z111" s="92"/>
      <c r="AA111" s="256">
        <f>IFERROR($Y112/$Y$191, 0)</f>
        <v>0</v>
      </c>
      <c r="AB111" s="239">
        <f>IFERROR($Y112/$Y$398, 0)</f>
        <v>0</v>
      </c>
      <c r="AC111" s="16"/>
      <c r="AD111" s="3"/>
      <c r="AE111" s="3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7">
        <v>100</v>
      </c>
      <c r="B112" s="17">
        <v>200</v>
      </c>
      <c r="C112" s="17">
        <v>300</v>
      </c>
      <c r="D112" s="17">
        <v>400</v>
      </c>
      <c r="E112" s="14"/>
      <c r="F112" s="18"/>
      <c r="G112" s="18"/>
      <c r="H112" s="14" t="s">
        <v>15</v>
      </c>
      <c r="I112" s="233"/>
      <c r="J112" s="237"/>
      <c r="K112" s="92"/>
      <c r="L112" s="19">
        <f t="shared" ref="L112" si="242">$A112*L111</f>
        <v>0</v>
      </c>
      <c r="M112" s="19">
        <f t="shared" ref="M112:R112" si="243">$B112*M111</f>
        <v>0</v>
      </c>
      <c r="N112" s="19">
        <f t="shared" si="243"/>
        <v>0</v>
      </c>
      <c r="O112" s="19">
        <f t="shared" ref="O112:P112" si="244">$B112*O111</f>
        <v>0</v>
      </c>
      <c r="P112" s="19">
        <f t="shared" si="244"/>
        <v>0</v>
      </c>
      <c r="Q112" s="19">
        <f t="shared" ref="Q112" si="245">$B112*Q111</f>
        <v>0</v>
      </c>
      <c r="R112" s="19">
        <f t="shared" si="243"/>
        <v>0</v>
      </c>
      <c r="S112" s="19">
        <f t="shared" ref="S112:U112" si="246">$C112*S111</f>
        <v>0</v>
      </c>
      <c r="T112" s="19">
        <f t="shared" si="246"/>
        <v>0</v>
      </c>
      <c r="U112" s="19">
        <f t="shared" si="246"/>
        <v>0</v>
      </c>
      <c r="V112" s="19">
        <f t="shared" ref="V112:W112" si="247">$D112*V111</f>
        <v>0</v>
      </c>
      <c r="W112" s="19">
        <f t="shared" si="247"/>
        <v>0</v>
      </c>
      <c r="X112" s="92"/>
      <c r="Y112" s="20">
        <f t="shared" si="241"/>
        <v>0</v>
      </c>
      <c r="Z112" s="92"/>
      <c r="AA112" s="257"/>
      <c r="AB112" s="258"/>
      <c r="AC112" s="16"/>
      <c r="AD112" s="3"/>
      <c r="AE112" s="3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7"/>
      <c r="B113" s="17"/>
      <c r="C113" s="17"/>
      <c r="D113" s="17"/>
      <c r="E113" s="1"/>
      <c r="F113" s="32"/>
      <c r="G113" s="18"/>
      <c r="H113" s="14" t="s">
        <v>46</v>
      </c>
      <c r="I113" s="233"/>
      <c r="J113" s="237" t="s">
        <v>437</v>
      </c>
      <c r="K113" s="92"/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92"/>
      <c r="Y113" s="15">
        <f t="shared" si="241"/>
        <v>0</v>
      </c>
      <c r="Z113" s="92"/>
      <c r="AA113" s="256">
        <f>IFERROR($Y114/$Y$191, 0)</f>
        <v>0</v>
      </c>
      <c r="AB113" s="239">
        <f>IFERROR($Y114/$Y$398, 0)</f>
        <v>0</v>
      </c>
      <c r="AC113" s="16"/>
      <c r="AD113" s="3"/>
      <c r="AE113" s="3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7">
        <v>100</v>
      </c>
      <c r="B114" s="17">
        <v>200</v>
      </c>
      <c r="C114" s="17">
        <v>300</v>
      </c>
      <c r="D114" s="17">
        <v>400</v>
      </c>
      <c r="E114" s="14"/>
      <c r="F114" s="18"/>
      <c r="G114" s="18"/>
      <c r="H114" s="14" t="s">
        <v>15</v>
      </c>
      <c r="I114" s="233"/>
      <c r="J114" s="237"/>
      <c r="K114" s="92"/>
      <c r="L114" s="19">
        <f t="shared" ref="L114" si="248">$A114*L113</f>
        <v>0</v>
      </c>
      <c r="M114" s="19">
        <f t="shared" ref="M114:R114" si="249">$B114*M113</f>
        <v>0</v>
      </c>
      <c r="N114" s="19">
        <f t="shared" si="249"/>
        <v>0</v>
      </c>
      <c r="O114" s="19">
        <f t="shared" ref="O114:P114" si="250">$B114*O113</f>
        <v>0</v>
      </c>
      <c r="P114" s="19">
        <f t="shared" si="250"/>
        <v>0</v>
      </c>
      <c r="Q114" s="19">
        <f t="shared" ref="Q114" si="251">$B114*Q113</f>
        <v>0</v>
      </c>
      <c r="R114" s="19">
        <f t="shared" si="249"/>
        <v>0</v>
      </c>
      <c r="S114" s="19">
        <f t="shared" ref="S114:U114" si="252">$C114*S113</f>
        <v>0</v>
      </c>
      <c r="T114" s="19">
        <f t="shared" si="252"/>
        <v>0</v>
      </c>
      <c r="U114" s="19">
        <f t="shared" si="252"/>
        <v>0</v>
      </c>
      <c r="V114" s="19">
        <f t="shared" ref="V114:W114" si="253">$D114*V113</f>
        <v>0</v>
      </c>
      <c r="W114" s="19">
        <f t="shared" si="253"/>
        <v>0</v>
      </c>
      <c r="X114" s="92"/>
      <c r="Y114" s="20">
        <f t="shared" si="241"/>
        <v>0</v>
      </c>
      <c r="Z114" s="92"/>
      <c r="AA114" s="257"/>
      <c r="AB114" s="258"/>
      <c r="AC114" s="16"/>
      <c r="AD114" s="3"/>
      <c r="AE114" s="3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7"/>
      <c r="B115" s="17"/>
      <c r="C115" s="17"/>
      <c r="D115" s="17"/>
      <c r="E115" s="1"/>
      <c r="F115" s="32"/>
      <c r="G115" s="31"/>
      <c r="H115" s="14" t="s">
        <v>46</v>
      </c>
      <c r="I115" s="233"/>
      <c r="J115" s="237" t="s">
        <v>437</v>
      </c>
      <c r="K115" s="92"/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92"/>
      <c r="Y115" s="15">
        <f t="shared" si="241"/>
        <v>0</v>
      </c>
      <c r="Z115" s="92"/>
      <c r="AA115" s="256">
        <f>IFERROR($Y116/$Y$191, 0)</f>
        <v>0</v>
      </c>
      <c r="AB115" s="239">
        <f>IFERROR($Y116/$Y$398, 0)</f>
        <v>0</v>
      </c>
      <c r="AC115" s="121"/>
      <c r="AD115" s="3"/>
      <c r="AE115" s="3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7">
        <v>100</v>
      </c>
      <c r="B116" s="17">
        <v>200</v>
      </c>
      <c r="C116" s="17">
        <v>300</v>
      </c>
      <c r="D116" s="17">
        <v>400</v>
      </c>
      <c r="E116" s="14"/>
      <c r="F116" s="18"/>
      <c r="G116" s="18"/>
      <c r="H116" s="14" t="s">
        <v>15</v>
      </c>
      <c r="I116" s="233"/>
      <c r="J116" s="237"/>
      <c r="K116" s="92"/>
      <c r="L116" s="19">
        <f t="shared" ref="L116" si="254">$A116*L115</f>
        <v>0</v>
      </c>
      <c r="M116" s="19">
        <f t="shared" ref="M116:R116" si="255">$B116*M115</f>
        <v>0</v>
      </c>
      <c r="N116" s="19">
        <f t="shared" si="255"/>
        <v>0</v>
      </c>
      <c r="O116" s="19">
        <f t="shared" ref="O116:P116" si="256">$B116*O115</f>
        <v>0</v>
      </c>
      <c r="P116" s="19">
        <f t="shared" si="256"/>
        <v>0</v>
      </c>
      <c r="Q116" s="19">
        <f t="shared" ref="Q116" si="257">$B116*Q115</f>
        <v>0</v>
      </c>
      <c r="R116" s="19">
        <f t="shared" si="255"/>
        <v>0</v>
      </c>
      <c r="S116" s="19">
        <f t="shared" ref="S116:U116" si="258">$C116*S115</f>
        <v>0</v>
      </c>
      <c r="T116" s="19">
        <f t="shared" si="258"/>
        <v>0</v>
      </c>
      <c r="U116" s="19">
        <f t="shared" si="258"/>
        <v>0</v>
      </c>
      <c r="V116" s="19">
        <f t="shared" ref="V116:W116" si="259">$D116*V115</f>
        <v>0</v>
      </c>
      <c r="W116" s="19">
        <f t="shared" si="259"/>
        <v>0</v>
      </c>
      <c r="X116" s="92"/>
      <c r="Y116" s="20">
        <f t="shared" si="241"/>
        <v>0</v>
      </c>
      <c r="Z116" s="92"/>
      <c r="AA116" s="257"/>
      <c r="AB116" s="258"/>
      <c r="AC116" s="121"/>
      <c r="AD116" s="3"/>
      <c r="AE116" s="3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7"/>
      <c r="B117" s="17"/>
      <c r="C117" s="17"/>
      <c r="D117" s="17"/>
      <c r="E117" s="1"/>
      <c r="F117" s="18"/>
      <c r="G117" s="18"/>
      <c r="H117" s="14"/>
      <c r="I117" s="126"/>
      <c r="J117" s="126"/>
      <c r="K117" s="92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92"/>
      <c r="Y117" s="20"/>
      <c r="Z117" s="92"/>
      <c r="AA117" s="23"/>
      <c r="AB117" s="24"/>
      <c r="AC117" s="16"/>
      <c r="AD117" s="3"/>
      <c r="AE117" s="3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7"/>
      <c r="B118" s="17"/>
      <c r="C118" s="17"/>
      <c r="D118" s="17"/>
      <c r="E118" s="13" t="s">
        <v>18</v>
      </c>
      <c r="F118" s="32"/>
      <c r="G118" s="18"/>
      <c r="H118" s="14" t="s">
        <v>46</v>
      </c>
      <c r="I118" s="233"/>
      <c r="J118" s="237" t="s">
        <v>437</v>
      </c>
      <c r="K118" s="92"/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92"/>
      <c r="Y118" s="15">
        <f t="shared" ref="Y118:Y123" si="260">SUM(L118:W118)</f>
        <v>0</v>
      </c>
      <c r="Z118" s="92"/>
      <c r="AA118" s="256">
        <f>IFERROR($Y119/$Y$191, 0)</f>
        <v>0</v>
      </c>
      <c r="AB118" s="239">
        <f>IFERROR($Y119/$Y$398, 0)</f>
        <v>0</v>
      </c>
      <c r="AC118" s="121"/>
      <c r="AD118" s="3"/>
      <c r="AE118" s="3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7">
        <v>100</v>
      </c>
      <c r="B119" s="17">
        <v>200</v>
      </c>
      <c r="C119" s="17">
        <v>300</v>
      </c>
      <c r="D119" s="17">
        <v>400</v>
      </c>
      <c r="E119" s="14"/>
      <c r="F119" s="18"/>
      <c r="G119" s="18"/>
      <c r="H119" s="14" t="s">
        <v>15</v>
      </c>
      <c r="I119" s="233"/>
      <c r="J119" s="237"/>
      <c r="K119" s="92"/>
      <c r="L119" s="19">
        <f t="shared" ref="L119" si="261">$A119*L118</f>
        <v>0</v>
      </c>
      <c r="M119" s="19">
        <f t="shared" ref="M119:R119" si="262">$B119*M118</f>
        <v>0</v>
      </c>
      <c r="N119" s="19">
        <f t="shared" si="262"/>
        <v>0</v>
      </c>
      <c r="O119" s="19">
        <f t="shared" ref="O119:P119" si="263">$B119*O118</f>
        <v>0</v>
      </c>
      <c r="P119" s="19">
        <f t="shared" si="263"/>
        <v>0</v>
      </c>
      <c r="Q119" s="19">
        <f t="shared" ref="Q119" si="264">$B119*Q118</f>
        <v>0</v>
      </c>
      <c r="R119" s="19">
        <f t="shared" si="262"/>
        <v>0</v>
      </c>
      <c r="S119" s="19">
        <f t="shared" ref="S119:U119" si="265">$C119*S118</f>
        <v>0</v>
      </c>
      <c r="T119" s="19">
        <f t="shared" si="265"/>
        <v>0</v>
      </c>
      <c r="U119" s="19">
        <f t="shared" si="265"/>
        <v>0</v>
      </c>
      <c r="V119" s="19">
        <f t="shared" ref="V119:W119" si="266">$D119*V118</f>
        <v>0</v>
      </c>
      <c r="W119" s="19">
        <f t="shared" si="266"/>
        <v>0</v>
      </c>
      <c r="X119" s="92"/>
      <c r="Y119" s="20">
        <f t="shared" si="260"/>
        <v>0</v>
      </c>
      <c r="Z119" s="92"/>
      <c r="AA119" s="257"/>
      <c r="AB119" s="258"/>
      <c r="AC119" s="121"/>
      <c r="AD119" s="3"/>
      <c r="AE119" s="3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7"/>
      <c r="B120" s="17"/>
      <c r="C120" s="17"/>
      <c r="D120" s="17"/>
      <c r="E120" s="1"/>
      <c r="F120" s="32"/>
      <c r="G120" s="18"/>
      <c r="H120" s="14" t="s">
        <v>46</v>
      </c>
      <c r="I120" s="233"/>
      <c r="J120" s="237" t="s">
        <v>437</v>
      </c>
      <c r="K120" s="92"/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92"/>
      <c r="Y120" s="15">
        <f t="shared" si="260"/>
        <v>0</v>
      </c>
      <c r="Z120" s="92"/>
      <c r="AA120" s="256">
        <f>IFERROR($Y121/$Y$191, 0)</f>
        <v>0</v>
      </c>
      <c r="AB120" s="239">
        <f>IFERROR($Y121/$Y$398, 0)</f>
        <v>0</v>
      </c>
      <c r="AC120" s="121"/>
      <c r="AD120" s="3"/>
      <c r="AE120" s="3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7">
        <v>100</v>
      </c>
      <c r="B121" s="17">
        <v>200</v>
      </c>
      <c r="C121" s="17">
        <v>300</v>
      </c>
      <c r="D121" s="17">
        <v>400</v>
      </c>
      <c r="E121" s="14"/>
      <c r="F121" s="18"/>
      <c r="G121" s="18"/>
      <c r="H121" s="14" t="s">
        <v>15</v>
      </c>
      <c r="I121" s="233"/>
      <c r="J121" s="237"/>
      <c r="K121" s="92"/>
      <c r="L121" s="19">
        <f t="shared" ref="L121" si="267">$A121*L120</f>
        <v>0</v>
      </c>
      <c r="M121" s="19">
        <f t="shared" ref="M121:R121" si="268">$B121*M120</f>
        <v>0</v>
      </c>
      <c r="N121" s="19">
        <f t="shared" si="268"/>
        <v>0</v>
      </c>
      <c r="O121" s="19">
        <f t="shared" ref="O121:P121" si="269">$B121*O120</f>
        <v>0</v>
      </c>
      <c r="P121" s="19">
        <f t="shared" si="269"/>
        <v>0</v>
      </c>
      <c r="Q121" s="19">
        <f t="shared" ref="Q121" si="270">$B121*Q120</f>
        <v>0</v>
      </c>
      <c r="R121" s="19">
        <f t="shared" si="268"/>
        <v>0</v>
      </c>
      <c r="S121" s="19">
        <f t="shared" ref="S121:U121" si="271">$C121*S120</f>
        <v>0</v>
      </c>
      <c r="T121" s="19">
        <f t="shared" si="271"/>
        <v>0</v>
      </c>
      <c r="U121" s="19">
        <f t="shared" si="271"/>
        <v>0</v>
      </c>
      <c r="V121" s="19">
        <f t="shared" ref="V121:W121" si="272">$D121*V120</f>
        <v>0</v>
      </c>
      <c r="W121" s="19">
        <f t="shared" si="272"/>
        <v>0</v>
      </c>
      <c r="X121" s="92"/>
      <c r="Y121" s="20">
        <f t="shared" si="260"/>
        <v>0</v>
      </c>
      <c r="Z121" s="92"/>
      <c r="AA121" s="257"/>
      <c r="AB121" s="258"/>
      <c r="AC121" s="121"/>
      <c r="AD121" s="3"/>
      <c r="AE121" s="3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7"/>
      <c r="B122" s="17"/>
      <c r="C122" s="17"/>
      <c r="D122" s="17"/>
      <c r="E122" s="1"/>
      <c r="F122" s="32"/>
      <c r="G122" s="18"/>
      <c r="H122" s="14" t="s">
        <v>46</v>
      </c>
      <c r="I122" s="233"/>
      <c r="J122" s="237" t="s">
        <v>437</v>
      </c>
      <c r="K122" s="92"/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92"/>
      <c r="Y122" s="15">
        <f t="shared" si="260"/>
        <v>0</v>
      </c>
      <c r="Z122" s="92"/>
      <c r="AA122" s="256">
        <f>IFERROR($Y123/$Y$191, 0)</f>
        <v>0</v>
      </c>
      <c r="AB122" s="239">
        <f>IFERROR($Y123/$Y$398, 0)</f>
        <v>0</v>
      </c>
      <c r="AC122" s="121"/>
      <c r="AD122" s="3"/>
      <c r="AE122" s="3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7">
        <v>100</v>
      </c>
      <c r="B123" s="17">
        <v>200</v>
      </c>
      <c r="C123" s="17">
        <v>300</v>
      </c>
      <c r="D123" s="17">
        <v>400</v>
      </c>
      <c r="E123" s="14"/>
      <c r="F123" s="18"/>
      <c r="G123" s="18"/>
      <c r="H123" s="14" t="s">
        <v>15</v>
      </c>
      <c r="I123" s="233"/>
      <c r="J123" s="237"/>
      <c r="K123" s="92"/>
      <c r="L123" s="19">
        <f t="shared" ref="L123" si="273">$A123*L122</f>
        <v>0</v>
      </c>
      <c r="M123" s="19">
        <f t="shared" ref="M123:R123" si="274">$B123*M122</f>
        <v>0</v>
      </c>
      <c r="N123" s="19">
        <f t="shared" si="274"/>
        <v>0</v>
      </c>
      <c r="O123" s="19">
        <f t="shared" ref="O123:P123" si="275">$B123*O122</f>
        <v>0</v>
      </c>
      <c r="P123" s="19">
        <f t="shared" si="275"/>
        <v>0</v>
      </c>
      <c r="Q123" s="19">
        <f t="shared" ref="Q123" si="276">$B123*Q122</f>
        <v>0</v>
      </c>
      <c r="R123" s="19">
        <f t="shared" si="274"/>
        <v>0</v>
      </c>
      <c r="S123" s="19">
        <f t="shared" ref="S123:U123" si="277">$C123*S122</f>
        <v>0</v>
      </c>
      <c r="T123" s="19">
        <f t="shared" si="277"/>
        <v>0</v>
      </c>
      <c r="U123" s="19">
        <f t="shared" si="277"/>
        <v>0</v>
      </c>
      <c r="V123" s="19">
        <f t="shared" ref="V123:W123" si="278">$D123*V122</f>
        <v>0</v>
      </c>
      <c r="W123" s="19">
        <f t="shared" si="278"/>
        <v>0</v>
      </c>
      <c r="X123" s="92"/>
      <c r="Y123" s="20">
        <f t="shared" si="260"/>
        <v>0</v>
      </c>
      <c r="Z123" s="92"/>
      <c r="AA123" s="257"/>
      <c r="AB123" s="258"/>
      <c r="AC123" s="121"/>
      <c r="AD123" s="3"/>
      <c r="AE123" s="3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7"/>
      <c r="B124" s="17"/>
      <c r="C124" s="17"/>
      <c r="D124" s="17"/>
      <c r="E124" s="1"/>
      <c r="F124" s="18"/>
      <c r="G124" s="18"/>
      <c r="H124" s="14"/>
      <c r="I124" s="126"/>
      <c r="J124" s="126"/>
      <c r="K124" s="92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92"/>
      <c r="Y124" s="20"/>
      <c r="Z124" s="92"/>
      <c r="AA124" s="23"/>
      <c r="AB124" s="24"/>
      <c r="AC124" s="16"/>
      <c r="AD124" s="3"/>
      <c r="AE124" s="3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7"/>
      <c r="B125" s="17"/>
      <c r="C125" s="17"/>
      <c r="D125" s="17"/>
      <c r="E125" s="13" t="s">
        <v>19</v>
      </c>
      <c r="F125" s="18"/>
      <c r="G125" s="18"/>
      <c r="H125" s="14" t="s">
        <v>46</v>
      </c>
      <c r="I125" s="233"/>
      <c r="J125" s="237" t="s">
        <v>437</v>
      </c>
      <c r="K125" s="92"/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92"/>
      <c r="Y125" s="15">
        <f t="shared" ref="Y125:Y130" si="279">SUM(L125:W125)</f>
        <v>0</v>
      </c>
      <c r="Z125" s="92"/>
      <c r="AA125" s="256">
        <f>IFERROR($Y126/$Y$191, 0)</f>
        <v>0</v>
      </c>
      <c r="AB125" s="239">
        <f>IFERROR($Y126/$Y$398, 0)</f>
        <v>0</v>
      </c>
      <c r="AC125" s="16"/>
      <c r="AD125" s="3"/>
      <c r="AE125" s="3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7">
        <v>100</v>
      </c>
      <c r="B126" s="17">
        <v>200</v>
      </c>
      <c r="C126" s="17">
        <v>300</v>
      </c>
      <c r="D126" s="17">
        <v>400</v>
      </c>
      <c r="E126" s="14"/>
      <c r="F126" s="18"/>
      <c r="G126" s="18"/>
      <c r="H126" s="14" t="s">
        <v>15</v>
      </c>
      <c r="I126" s="233"/>
      <c r="J126" s="237"/>
      <c r="K126" s="92"/>
      <c r="L126" s="19">
        <f t="shared" ref="L126" si="280">$A126*L125</f>
        <v>0</v>
      </c>
      <c r="M126" s="19">
        <f t="shared" ref="M126:R126" si="281">$B126*M125</f>
        <v>0</v>
      </c>
      <c r="N126" s="19">
        <f t="shared" si="281"/>
        <v>0</v>
      </c>
      <c r="O126" s="19">
        <f t="shared" ref="O126:P126" si="282">$B126*O125</f>
        <v>0</v>
      </c>
      <c r="P126" s="19">
        <f t="shared" si="282"/>
        <v>0</v>
      </c>
      <c r="Q126" s="19">
        <f t="shared" ref="Q126" si="283">$B126*Q125</f>
        <v>0</v>
      </c>
      <c r="R126" s="19">
        <f t="shared" si="281"/>
        <v>0</v>
      </c>
      <c r="S126" s="19">
        <f t="shared" ref="S126:U126" si="284">$C126*S125</f>
        <v>0</v>
      </c>
      <c r="T126" s="19">
        <f t="shared" si="284"/>
        <v>0</v>
      </c>
      <c r="U126" s="19">
        <f t="shared" si="284"/>
        <v>0</v>
      </c>
      <c r="V126" s="19">
        <f t="shared" ref="V126:W126" si="285">$D126*V125</f>
        <v>0</v>
      </c>
      <c r="W126" s="19">
        <f t="shared" si="285"/>
        <v>0</v>
      </c>
      <c r="X126" s="92"/>
      <c r="Y126" s="20">
        <f t="shared" si="279"/>
        <v>0</v>
      </c>
      <c r="Z126" s="92"/>
      <c r="AA126" s="257"/>
      <c r="AB126" s="258"/>
      <c r="AC126" s="16"/>
      <c r="AD126" s="3"/>
      <c r="AE126" s="3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7"/>
      <c r="B127" s="17"/>
      <c r="C127" s="17"/>
      <c r="D127" s="17"/>
      <c r="E127" s="1"/>
      <c r="F127" s="32"/>
      <c r="G127" s="18"/>
      <c r="H127" s="14" t="s">
        <v>46</v>
      </c>
      <c r="I127" s="233"/>
      <c r="J127" s="237" t="s">
        <v>437</v>
      </c>
      <c r="K127" s="92"/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92"/>
      <c r="Y127" s="15">
        <f t="shared" si="279"/>
        <v>0</v>
      </c>
      <c r="Z127" s="92"/>
      <c r="AA127" s="256">
        <f>IFERROR($Y128/$Y$191, 0)</f>
        <v>0</v>
      </c>
      <c r="AB127" s="239">
        <f>IFERROR($Y128/$Y$398, 0)</f>
        <v>0</v>
      </c>
      <c r="AC127" s="16"/>
      <c r="AD127" s="3"/>
      <c r="AE127" s="3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7">
        <v>100</v>
      </c>
      <c r="B128" s="17">
        <v>200</v>
      </c>
      <c r="C128" s="17">
        <v>300</v>
      </c>
      <c r="D128" s="17">
        <v>400</v>
      </c>
      <c r="E128" s="14"/>
      <c r="F128" s="18"/>
      <c r="G128" s="18"/>
      <c r="H128" s="14" t="s">
        <v>15</v>
      </c>
      <c r="I128" s="233"/>
      <c r="J128" s="237"/>
      <c r="K128" s="92"/>
      <c r="L128" s="19">
        <f t="shared" ref="L128" si="286">$A128*L127</f>
        <v>0</v>
      </c>
      <c r="M128" s="19">
        <f t="shared" ref="M128:R128" si="287">$B128*M127</f>
        <v>0</v>
      </c>
      <c r="N128" s="19">
        <f t="shared" si="287"/>
        <v>0</v>
      </c>
      <c r="O128" s="19">
        <f t="shared" ref="O128:P128" si="288">$B128*O127</f>
        <v>0</v>
      </c>
      <c r="P128" s="19">
        <f t="shared" si="288"/>
        <v>0</v>
      </c>
      <c r="Q128" s="19">
        <f t="shared" ref="Q128" si="289">$B128*Q127</f>
        <v>0</v>
      </c>
      <c r="R128" s="19">
        <f t="shared" si="287"/>
        <v>0</v>
      </c>
      <c r="S128" s="19">
        <f t="shared" ref="S128:U128" si="290">$C128*S127</f>
        <v>0</v>
      </c>
      <c r="T128" s="19">
        <f t="shared" si="290"/>
        <v>0</v>
      </c>
      <c r="U128" s="19">
        <f t="shared" si="290"/>
        <v>0</v>
      </c>
      <c r="V128" s="19">
        <f t="shared" ref="V128:W128" si="291">$D128*V127</f>
        <v>0</v>
      </c>
      <c r="W128" s="19">
        <f t="shared" si="291"/>
        <v>0</v>
      </c>
      <c r="X128" s="92"/>
      <c r="Y128" s="20">
        <f t="shared" si="279"/>
        <v>0</v>
      </c>
      <c r="Z128" s="92"/>
      <c r="AA128" s="257"/>
      <c r="AB128" s="258"/>
      <c r="AC128" s="16"/>
      <c r="AD128" s="3"/>
      <c r="AE128" s="3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7"/>
      <c r="B129" s="17"/>
      <c r="C129" s="17"/>
      <c r="D129" s="17"/>
      <c r="E129" s="1"/>
      <c r="F129" s="32"/>
      <c r="G129" s="31"/>
      <c r="H129" s="14" t="s">
        <v>46</v>
      </c>
      <c r="I129" s="233"/>
      <c r="J129" s="237" t="s">
        <v>437</v>
      </c>
      <c r="K129" s="92"/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92"/>
      <c r="Y129" s="15">
        <f t="shared" si="279"/>
        <v>0</v>
      </c>
      <c r="Z129" s="92"/>
      <c r="AA129" s="256">
        <f>IFERROR($Y130/$Y$191, 0)</f>
        <v>0</v>
      </c>
      <c r="AB129" s="239">
        <f>IFERROR($Y130/$Y$398, 0)</f>
        <v>0</v>
      </c>
      <c r="AC129" s="121"/>
      <c r="AD129" s="3"/>
      <c r="AE129" s="3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7">
        <v>100</v>
      </c>
      <c r="B130" s="17">
        <v>200</v>
      </c>
      <c r="C130" s="17">
        <v>300</v>
      </c>
      <c r="D130" s="17">
        <v>400</v>
      </c>
      <c r="E130" s="14"/>
      <c r="F130" s="18"/>
      <c r="G130" s="18"/>
      <c r="H130" s="14" t="s">
        <v>15</v>
      </c>
      <c r="I130" s="233"/>
      <c r="J130" s="237"/>
      <c r="K130" s="92"/>
      <c r="L130" s="19">
        <f t="shared" ref="L130" si="292">$A130*L129</f>
        <v>0</v>
      </c>
      <c r="M130" s="19">
        <f t="shared" ref="M130:R130" si="293">$B130*M129</f>
        <v>0</v>
      </c>
      <c r="N130" s="19">
        <f t="shared" si="293"/>
        <v>0</v>
      </c>
      <c r="O130" s="19">
        <f t="shared" ref="O130:P130" si="294">$B130*O129</f>
        <v>0</v>
      </c>
      <c r="P130" s="19">
        <f t="shared" si="294"/>
        <v>0</v>
      </c>
      <c r="Q130" s="19">
        <f t="shared" ref="Q130" si="295">$B130*Q129</f>
        <v>0</v>
      </c>
      <c r="R130" s="19">
        <f t="shared" si="293"/>
        <v>0</v>
      </c>
      <c r="S130" s="19">
        <f t="shared" ref="S130:U130" si="296">$C130*S129</f>
        <v>0</v>
      </c>
      <c r="T130" s="19">
        <f t="shared" si="296"/>
        <v>0</v>
      </c>
      <c r="U130" s="19">
        <f t="shared" si="296"/>
        <v>0</v>
      </c>
      <c r="V130" s="19">
        <f t="shared" ref="V130:W130" si="297">$D130*V129</f>
        <v>0</v>
      </c>
      <c r="W130" s="19">
        <f t="shared" si="297"/>
        <v>0</v>
      </c>
      <c r="X130" s="92"/>
      <c r="Y130" s="20">
        <f t="shared" si="279"/>
        <v>0</v>
      </c>
      <c r="Z130" s="92"/>
      <c r="AA130" s="257"/>
      <c r="AB130" s="258"/>
      <c r="AC130" s="121"/>
      <c r="AD130" s="3"/>
      <c r="AE130" s="3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7"/>
      <c r="B131" s="17"/>
      <c r="C131" s="17"/>
      <c r="D131" s="17"/>
      <c r="E131" s="1"/>
      <c r="F131" s="18"/>
      <c r="G131" s="18"/>
      <c r="H131" s="14"/>
      <c r="I131" s="126"/>
      <c r="J131" s="126"/>
      <c r="K131" s="92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92"/>
      <c r="Y131" s="20"/>
      <c r="Z131" s="92"/>
      <c r="AA131" s="23"/>
      <c r="AB131" s="24"/>
      <c r="AC131" s="16"/>
      <c r="AD131" s="3"/>
      <c r="AE131" s="3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7"/>
      <c r="B132" s="17"/>
      <c r="C132" s="17"/>
      <c r="D132" s="17"/>
      <c r="E132" s="13" t="s">
        <v>20</v>
      </c>
      <c r="F132" s="32"/>
      <c r="G132" s="18"/>
      <c r="H132" s="14" t="s">
        <v>46</v>
      </c>
      <c r="I132" s="233"/>
      <c r="J132" s="237" t="s">
        <v>437</v>
      </c>
      <c r="K132" s="92"/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92"/>
      <c r="Y132" s="15">
        <f t="shared" ref="Y132:Y137" si="298">SUM(L132:W132)</f>
        <v>0</v>
      </c>
      <c r="Z132" s="92"/>
      <c r="AA132" s="256">
        <f>IFERROR($Y133/$Y$191, 0)</f>
        <v>0</v>
      </c>
      <c r="AB132" s="239">
        <f>IFERROR($Y133/$Y$398, 0)</f>
        <v>0</v>
      </c>
      <c r="AC132" s="121"/>
      <c r="AD132" s="3"/>
      <c r="AE132" s="3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7">
        <v>100</v>
      </c>
      <c r="B133" s="17">
        <v>200</v>
      </c>
      <c r="C133" s="17">
        <v>300</v>
      </c>
      <c r="D133" s="17">
        <v>400</v>
      </c>
      <c r="E133" s="14"/>
      <c r="F133" s="18"/>
      <c r="G133" s="18"/>
      <c r="H133" s="14" t="s">
        <v>15</v>
      </c>
      <c r="I133" s="233"/>
      <c r="J133" s="237"/>
      <c r="K133" s="92"/>
      <c r="L133" s="19">
        <f t="shared" ref="L133" si="299">$A133*L132</f>
        <v>0</v>
      </c>
      <c r="M133" s="19">
        <f t="shared" ref="M133:R133" si="300">$B133*M132</f>
        <v>0</v>
      </c>
      <c r="N133" s="19">
        <f t="shared" si="300"/>
        <v>0</v>
      </c>
      <c r="O133" s="19">
        <f t="shared" ref="O133:P133" si="301">$B133*O132</f>
        <v>0</v>
      </c>
      <c r="P133" s="19">
        <f t="shared" si="301"/>
        <v>0</v>
      </c>
      <c r="Q133" s="19">
        <f t="shared" ref="Q133" si="302">$B133*Q132</f>
        <v>0</v>
      </c>
      <c r="R133" s="19">
        <f t="shared" si="300"/>
        <v>0</v>
      </c>
      <c r="S133" s="19">
        <f t="shared" ref="S133:U133" si="303">$C133*S132</f>
        <v>0</v>
      </c>
      <c r="T133" s="19">
        <f t="shared" si="303"/>
        <v>0</v>
      </c>
      <c r="U133" s="19">
        <f t="shared" si="303"/>
        <v>0</v>
      </c>
      <c r="V133" s="19">
        <f t="shared" ref="V133:W133" si="304">$D133*V132</f>
        <v>0</v>
      </c>
      <c r="W133" s="19">
        <f t="shared" si="304"/>
        <v>0</v>
      </c>
      <c r="X133" s="92"/>
      <c r="Y133" s="20">
        <f t="shared" si="298"/>
        <v>0</v>
      </c>
      <c r="Z133" s="92"/>
      <c r="AA133" s="257"/>
      <c r="AB133" s="258"/>
      <c r="AC133" s="121"/>
      <c r="AD133" s="3"/>
      <c r="AE133" s="3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7"/>
      <c r="B134" s="17"/>
      <c r="C134" s="17"/>
      <c r="D134" s="17"/>
      <c r="E134" s="1"/>
      <c r="F134" s="32"/>
      <c r="G134" s="18"/>
      <c r="H134" s="14" t="s">
        <v>46</v>
      </c>
      <c r="I134" s="233"/>
      <c r="J134" s="237" t="s">
        <v>437</v>
      </c>
      <c r="K134" s="92"/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92"/>
      <c r="Y134" s="15">
        <f t="shared" si="298"/>
        <v>0</v>
      </c>
      <c r="Z134" s="92"/>
      <c r="AA134" s="256">
        <f>IFERROR($Y135/$Y$191, 0)</f>
        <v>0</v>
      </c>
      <c r="AB134" s="239">
        <f>IFERROR($Y135/$Y$398, 0)</f>
        <v>0</v>
      </c>
      <c r="AC134" s="121"/>
      <c r="AD134" s="3"/>
      <c r="AE134" s="3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7">
        <v>100</v>
      </c>
      <c r="B135" s="17">
        <v>200</v>
      </c>
      <c r="C135" s="17">
        <v>300</v>
      </c>
      <c r="D135" s="17">
        <v>400</v>
      </c>
      <c r="E135" s="14"/>
      <c r="F135" s="18"/>
      <c r="G135" s="18"/>
      <c r="H135" s="14" t="s">
        <v>15</v>
      </c>
      <c r="I135" s="233"/>
      <c r="J135" s="237"/>
      <c r="K135" s="92"/>
      <c r="L135" s="19">
        <f t="shared" ref="L135" si="305">$A135*L134</f>
        <v>0</v>
      </c>
      <c r="M135" s="19">
        <f t="shared" ref="M135:R135" si="306">$B135*M134</f>
        <v>0</v>
      </c>
      <c r="N135" s="19">
        <f t="shared" si="306"/>
        <v>0</v>
      </c>
      <c r="O135" s="19">
        <f t="shared" ref="O135:P135" si="307">$B135*O134</f>
        <v>0</v>
      </c>
      <c r="P135" s="19">
        <f t="shared" si="307"/>
        <v>0</v>
      </c>
      <c r="Q135" s="19">
        <f t="shared" ref="Q135" si="308">$B135*Q134</f>
        <v>0</v>
      </c>
      <c r="R135" s="19">
        <f t="shared" si="306"/>
        <v>0</v>
      </c>
      <c r="S135" s="19">
        <f t="shared" ref="S135:U135" si="309">$C135*S134</f>
        <v>0</v>
      </c>
      <c r="T135" s="19">
        <f t="shared" si="309"/>
        <v>0</v>
      </c>
      <c r="U135" s="19">
        <f t="shared" si="309"/>
        <v>0</v>
      </c>
      <c r="V135" s="19">
        <f t="shared" ref="V135:W135" si="310">$D135*V134</f>
        <v>0</v>
      </c>
      <c r="W135" s="19">
        <f t="shared" si="310"/>
        <v>0</v>
      </c>
      <c r="X135" s="92"/>
      <c r="Y135" s="20">
        <f t="shared" si="298"/>
        <v>0</v>
      </c>
      <c r="Z135" s="92"/>
      <c r="AA135" s="257"/>
      <c r="AB135" s="258"/>
      <c r="AC135" s="121"/>
      <c r="AD135" s="3"/>
      <c r="AE135" s="3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7"/>
      <c r="B136" s="17"/>
      <c r="C136" s="17"/>
      <c r="D136" s="17"/>
      <c r="E136" s="1"/>
      <c r="F136" s="32"/>
      <c r="G136" s="18"/>
      <c r="H136" s="14" t="s">
        <v>46</v>
      </c>
      <c r="I136" s="233"/>
      <c r="J136" s="237" t="s">
        <v>437</v>
      </c>
      <c r="K136" s="92"/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92"/>
      <c r="Y136" s="15">
        <f t="shared" si="298"/>
        <v>0</v>
      </c>
      <c r="Z136" s="92"/>
      <c r="AA136" s="256">
        <f>IFERROR($Y137/$Y$191, 0)</f>
        <v>0</v>
      </c>
      <c r="AB136" s="239">
        <f>IFERROR($Y137/$Y$398, 0)</f>
        <v>0</v>
      </c>
      <c r="AC136" s="121"/>
      <c r="AD136" s="3"/>
      <c r="AE136" s="3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7">
        <v>100</v>
      </c>
      <c r="B137" s="17">
        <v>200</v>
      </c>
      <c r="C137" s="17">
        <v>300</v>
      </c>
      <c r="D137" s="17">
        <v>400</v>
      </c>
      <c r="E137" s="14"/>
      <c r="F137" s="18"/>
      <c r="G137" s="18"/>
      <c r="H137" s="14" t="s">
        <v>15</v>
      </c>
      <c r="I137" s="233"/>
      <c r="J137" s="237"/>
      <c r="K137" s="92"/>
      <c r="L137" s="19">
        <f t="shared" ref="L137" si="311">$A137*L136</f>
        <v>0</v>
      </c>
      <c r="M137" s="19">
        <f t="shared" ref="M137:R137" si="312">$B137*M136</f>
        <v>0</v>
      </c>
      <c r="N137" s="19">
        <f t="shared" si="312"/>
        <v>0</v>
      </c>
      <c r="O137" s="19">
        <f t="shared" ref="O137:P137" si="313">$B137*O136</f>
        <v>0</v>
      </c>
      <c r="P137" s="19">
        <f t="shared" si="313"/>
        <v>0</v>
      </c>
      <c r="Q137" s="19">
        <f t="shared" ref="Q137" si="314">$B137*Q136</f>
        <v>0</v>
      </c>
      <c r="R137" s="19">
        <f t="shared" si="312"/>
        <v>0</v>
      </c>
      <c r="S137" s="19">
        <f t="shared" ref="S137:U137" si="315">$C137*S136</f>
        <v>0</v>
      </c>
      <c r="T137" s="19">
        <f t="shared" si="315"/>
        <v>0</v>
      </c>
      <c r="U137" s="19">
        <f t="shared" si="315"/>
        <v>0</v>
      </c>
      <c r="V137" s="19">
        <f t="shared" ref="V137:W137" si="316">$D137*V136</f>
        <v>0</v>
      </c>
      <c r="W137" s="19">
        <f t="shared" si="316"/>
        <v>0</v>
      </c>
      <c r="X137" s="92"/>
      <c r="Y137" s="20">
        <f t="shared" si="298"/>
        <v>0</v>
      </c>
      <c r="Z137" s="92"/>
      <c r="AA137" s="257"/>
      <c r="AB137" s="258"/>
      <c r="AC137" s="121"/>
      <c r="AD137" s="3"/>
      <c r="AE137" s="3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7"/>
      <c r="B138" s="17"/>
      <c r="C138" s="17"/>
      <c r="D138" s="17"/>
      <c r="E138" s="1"/>
      <c r="F138" s="18"/>
      <c r="G138" s="18"/>
      <c r="H138" s="14"/>
      <c r="I138" s="126"/>
      <c r="J138" s="126"/>
      <c r="K138" s="92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92"/>
      <c r="Y138" s="20"/>
      <c r="Z138" s="92"/>
      <c r="AA138" s="23"/>
      <c r="AB138" s="24"/>
      <c r="AC138" s="16"/>
      <c r="AD138" s="3"/>
      <c r="AE138" s="3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7"/>
      <c r="B139" s="17"/>
      <c r="C139" s="17"/>
      <c r="D139" s="17"/>
      <c r="E139" s="13" t="s">
        <v>21</v>
      </c>
      <c r="F139" s="18"/>
      <c r="G139" s="18"/>
      <c r="H139" s="14" t="s">
        <v>46</v>
      </c>
      <c r="I139" s="233"/>
      <c r="J139" s="237" t="s">
        <v>437</v>
      </c>
      <c r="K139" s="92"/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92"/>
      <c r="Y139" s="15">
        <f t="shared" ref="Y139:Y144" si="317">SUM(L139:W139)</f>
        <v>0</v>
      </c>
      <c r="Z139" s="92"/>
      <c r="AA139" s="256">
        <f>IFERROR($Y140/$Y$191, 0)</f>
        <v>0</v>
      </c>
      <c r="AB139" s="239">
        <f>IFERROR($Y140/$Y$398, 0)</f>
        <v>0</v>
      </c>
      <c r="AC139" s="16"/>
      <c r="AD139" s="3"/>
      <c r="AE139" s="3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7">
        <v>100</v>
      </c>
      <c r="B140" s="17">
        <v>200</v>
      </c>
      <c r="C140" s="17">
        <v>300</v>
      </c>
      <c r="D140" s="17">
        <v>400</v>
      </c>
      <c r="E140" s="14"/>
      <c r="F140" s="18"/>
      <c r="G140" s="18"/>
      <c r="H140" s="14" t="s">
        <v>15</v>
      </c>
      <c r="I140" s="233"/>
      <c r="J140" s="237"/>
      <c r="K140" s="92"/>
      <c r="L140" s="19">
        <f t="shared" ref="L140" si="318">$A140*L139</f>
        <v>0</v>
      </c>
      <c r="M140" s="19">
        <f t="shared" ref="M140:R140" si="319">$B140*M139</f>
        <v>0</v>
      </c>
      <c r="N140" s="19">
        <f t="shared" si="319"/>
        <v>0</v>
      </c>
      <c r="O140" s="19">
        <f t="shared" ref="O140:P140" si="320">$B140*O139</f>
        <v>0</v>
      </c>
      <c r="P140" s="19">
        <f t="shared" si="320"/>
        <v>0</v>
      </c>
      <c r="Q140" s="19">
        <f t="shared" ref="Q140" si="321">$B140*Q139</f>
        <v>0</v>
      </c>
      <c r="R140" s="19">
        <f t="shared" si="319"/>
        <v>0</v>
      </c>
      <c r="S140" s="19">
        <f t="shared" ref="S140:U140" si="322">$C140*S139</f>
        <v>0</v>
      </c>
      <c r="T140" s="19">
        <f t="shared" si="322"/>
        <v>0</v>
      </c>
      <c r="U140" s="19">
        <f t="shared" si="322"/>
        <v>0</v>
      </c>
      <c r="V140" s="19">
        <f t="shared" ref="V140:W140" si="323">$D140*V139</f>
        <v>0</v>
      </c>
      <c r="W140" s="19">
        <f t="shared" si="323"/>
        <v>0</v>
      </c>
      <c r="X140" s="92"/>
      <c r="Y140" s="20">
        <f t="shared" si="317"/>
        <v>0</v>
      </c>
      <c r="Z140" s="92"/>
      <c r="AA140" s="257"/>
      <c r="AB140" s="258"/>
      <c r="AC140" s="16"/>
      <c r="AD140" s="3"/>
      <c r="AE140" s="3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7"/>
      <c r="B141" s="17"/>
      <c r="C141" s="17"/>
      <c r="D141" s="17"/>
      <c r="E141" s="1"/>
      <c r="F141" s="32"/>
      <c r="G141" s="18"/>
      <c r="H141" s="14" t="s">
        <v>46</v>
      </c>
      <c r="I141" s="233"/>
      <c r="J141" s="237" t="s">
        <v>437</v>
      </c>
      <c r="K141" s="92"/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92"/>
      <c r="Y141" s="15">
        <f t="shared" si="317"/>
        <v>0</v>
      </c>
      <c r="Z141" s="92"/>
      <c r="AA141" s="256">
        <f>IFERROR($Y142/$Y$191, 0)</f>
        <v>0</v>
      </c>
      <c r="AB141" s="239">
        <f>IFERROR($Y142/$Y$398, 0)</f>
        <v>0</v>
      </c>
      <c r="AC141" s="16"/>
      <c r="AD141" s="3"/>
      <c r="AE141" s="3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7">
        <v>100</v>
      </c>
      <c r="B142" s="17">
        <v>200</v>
      </c>
      <c r="C142" s="17">
        <v>300</v>
      </c>
      <c r="D142" s="17">
        <v>400</v>
      </c>
      <c r="E142" s="14"/>
      <c r="F142" s="18"/>
      <c r="G142" s="18"/>
      <c r="H142" s="14" t="s">
        <v>15</v>
      </c>
      <c r="I142" s="233"/>
      <c r="J142" s="237"/>
      <c r="K142" s="92"/>
      <c r="L142" s="19">
        <f t="shared" ref="L142" si="324">$A142*L141</f>
        <v>0</v>
      </c>
      <c r="M142" s="19">
        <f t="shared" ref="M142:R142" si="325">$B142*M141</f>
        <v>0</v>
      </c>
      <c r="N142" s="19">
        <f t="shared" si="325"/>
        <v>0</v>
      </c>
      <c r="O142" s="19">
        <f t="shared" ref="O142:P142" si="326">$B142*O141</f>
        <v>0</v>
      </c>
      <c r="P142" s="19">
        <f t="shared" si="326"/>
        <v>0</v>
      </c>
      <c r="Q142" s="19">
        <f t="shared" ref="Q142" si="327">$B142*Q141</f>
        <v>0</v>
      </c>
      <c r="R142" s="19">
        <f t="shared" si="325"/>
        <v>0</v>
      </c>
      <c r="S142" s="19">
        <f t="shared" ref="S142:U142" si="328">$C142*S141</f>
        <v>0</v>
      </c>
      <c r="T142" s="19">
        <f t="shared" si="328"/>
        <v>0</v>
      </c>
      <c r="U142" s="19">
        <f t="shared" si="328"/>
        <v>0</v>
      </c>
      <c r="V142" s="19">
        <f t="shared" ref="V142:W142" si="329">$D142*V141</f>
        <v>0</v>
      </c>
      <c r="W142" s="19">
        <f t="shared" si="329"/>
        <v>0</v>
      </c>
      <c r="X142" s="92"/>
      <c r="Y142" s="20">
        <f t="shared" si="317"/>
        <v>0</v>
      </c>
      <c r="Z142" s="92"/>
      <c r="AA142" s="257"/>
      <c r="AB142" s="258"/>
      <c r="AC142" s="16"/>
      <c r="AD142" s="3"/>
      <c r="AE142" s="3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7"/>
      <c r="B143" s="17"/>
      <c r="C143" s="17"/>
      <c r="D143" s="17"/>
      <c r="E143" s="1"/>
      <c r="F143" s="32"/>
      <c r="G143" s="31"/>
      <c r="H143" s="14" t="s">
        <v>46</v>
      </c>
      <c r="I143" s="233"/>
      <c r="J143" s="237" t="s">
        <v>437</v>
      </c>
      <c r="K143" s="92"/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92"/>
      <c r="Y143" s="15">
        <f t="shared" si="317"/>
        <v>0</v>
      </c>
      <c r="Z143" s="92"/>
      <c r="AA143" s="256">
        <f>IFERROR($Y144/$Y$191, 0)</f>
        <v>0</v>
      </c>
      <c r="AB143" s="239">
        <f>IFERROR($Y144/$Y$398, 0)</f>
        <v>0</v>
      </c>
      <c r="AC143" s="121"/>
      <c r="AD143" s="3"/>
      <c r="AE143" s="3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7">
        <v>100</v>
      </c>
      <c r="B144" s="17">
        <v>200</v>
      </c>
      <c r="C144" s="17">
        <v>300</v>
      </c>
      <c r="D144" s="17">
        <v>400</v>
      </c>
      <c r="E144" s="14"/>
      <c r="F144" s="18"/>
      <c r="G144" s="18"/>
      <c r="H144" s="14" t="s">
        <v>15</v>
      </c>
      <c r="I144" s="233"/>
      <c r="J144" s="237"/>
      <c r="K144" s="92"/>
      <c r="L144" s="19">
        <f t="shared" ref="L144" si="330">$A144*L143</f>
        <v>0</v>
      </c>
      <c r="M144" s="19">
        <f t="shared" ref="M144:R144" si="331">$B144*M143</f>
        <v>0</v>
      </c>
      <c r="N144" s="19">
        <f t="shared" si="331"/>
        <v>0</v>
      </c>
      <c r="O144" s="19">
        <f t="shared" ref="O144:P144" si="332">$B144*O143</f>
        <v>0</v>
      </c>
      <c r="P144" s="19">
        <f t="shared" si="332"/>
        <v>0</v>
      </c>
      <c r="Q144" s="19">
        <f t="shared" ref="Q144" si="333">$B144*Q143</f>
        <v>0</v>
      </c>
      <c r="R144" s="19">
        <f t="shared" si="331"/>
        <v>0</v>
      </c>
      <c r="S144" s="19">
        <f t="shared" ref="S144:U144" si="334">$C144*S143</f>
        <v>0</v>
      </c>
      <c r="T144" s="19">
        <f t="shared" si="334"/>
        <v>0</v>
      </c>
      <c r="U144" s="19">
        <f t="shared" si="334"/>
        <v>0</v>
      </c>
      <c r="V144" s="19">
        <f t="shared" ref="V144:W144" si="335">$D144*V143</f>
        <v>0</v>
      </c>
      <c r="W144" s="19">
        <f t="shared" si="335"/>
        <v>0</v>
      </c>
      <c r="X144" s="92"/>
      <c r="Y144" s="20">
        <f t="shared" si="317"/>
        <v>0</v>
      </c>
      <c r="Z144" s="92"/>
      <c r="AA144" s="257"/>
      <c r="AB144" s="258"/>
      <c r="AC144" s="121"/>
      <c r="AD144" s="3"/>
      <c r="AE144" s="3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7"/>
      <c r="B145" s="17"/>
      <c r="C145" s="17"/>
      <c r="D145" s="17"/>
      <c r="E145" s="14"/>
      <c r="F145" s="18"/>
      <c r="G145" s="33"/>
      <c r="H145" s="14"/>
      <c r="I145" s="126"/>
      <c r="J145" s="126"/>
      <c r="K145" s="92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92"/>
      <c r="Y145" s="20"/>
      <c r="Z145" s="92"/>
      <c r="AA145" s="157"/>
      <c r="AB145" s="158"/>
      <c r="AC145" s="121"/>
      <c r="AD145" s="3"/>
      <c r="AE145" s="3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7"/>
      <c r="B146" s="17"/>
      <c r="C146" s="17"/>
      <c r="D146" s="17"/>
      <c r="E146" s="25" t="s">
        <v>47</v>
      </c>
      <c r="F146" s="31"/>
      <c r="G146" s="28"/>
      <c r="H146" s="127" t="s">
        <v>418</v>
      </c>
      <c r="I146" s="126"/>
      <c r="J146" s="126"/>
      <c r="K146" s="92"/>
      <c r="L146" s="26">
        <f t="shared" ref="L146:W146" si="336">SUMIF($H$103:$H$147,"$$$",L$103:L$147)</f>
        <v>0</v>
      </c>
      <c r="M146" s="26">
        <f t="shared" si="336"/>
        <v>0</v>
      </c>
      <c r="N146" s="26">
        <f t="shared" si="336"/>
        <v>0</v>
      </c>
      <c r="O146" s="26">
        <f t="shared" si="336"/>
        <v>0</v>
      </c>
      <c r="P146" s="26">
        <f t="shared" si="336"/>
        <v>0</v>
      </c>
      <c r="Q146" s="26">
        <f t="shared" si="336"/>
        <v>0</v>
      </c>
      <c r="R146" s="26">
        <f t="shared" si="336"/>
        <v>0</v>
      </c>
      <c r="S146" s="26">
        <f t="shared" si="336"/>
        <v>0</v>
      </c>
      <c r="T146" s="26">
        <f t="shared" si="336"/>
        <v>0</v>
      </c>
      <c r="U146" s="26">
        <f t="shared" si="336"/>
        <v>0</v>
      </c>
      <c r="V146" s="26">
        <f t="shared" si="336"/>
        <v>0</v>
      </c>
      <c r="W146" s="26">
        <f t="shared" si="336"/>
        <v>0</v>
      </c>
      <c r="X146" s="92"/>
      <c r="Y146" s="27">
        <f>SUM(L146:W146)</f>
        <v>0</v>
      </c>
      <c r="Z146" s="92"/>
      <c r="AA146" s="34">
        <f>IFERROR($Y146/$Y$191, 0)</f>
        <v>0</v>
      </c>
      <c r="AB146" s="29">
        <f>IFERROR($Y146/$Y$398, 0)</f>
        <v>0</v>
      </c>
      <c r="AC146" s="123"/>
      <c r="AD146" s="7"/>
      <c r="AE146" s="7"/>
      <c r="AF146" s="8"/>
      <c r="AG146" s="8"/>
      <c r="AH146" s="8"/>
      <c r="AI146" s="8"/>
      <c r="AJ146" s="8"/>
      <c r="AK146" s="8"/>
      <c r="AL146" s="8"/>
    </row>
    <row r="147" spans="1:38" ht="27.6">
      <c r="A147" s="5" t="s">
        <v>48</v>
      </c>
      <c r="B147" s="5"/>
      <c r="C147" s="5"/>
      <c r="D147" s="5"/>
      <c r="E147" s="5" t="s">
        <v>49</v>
      </c>
      <c r="F147" s="260"/>
      <c r="G147" s="257"/>
      <c r="H147" s="14"/>
      <c r="I147" s="126"/>
      <c r="J147" s="126"/>
      <c r="K147" s="92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92"/>
      <c r="Y147" s="15"/>
      <c r="Z147" s="92"/>
      <c r="AA147" s="159"/>
      <c r="AB147" s="160"/>
      <c r="AC147" s="123"/>
      <c r="AD147" s="7"/>
      <c r="AE147" s="7"/>
      <c r="AF147" s="8"/>
      <c r="AG147" s="8"/>
      <c r="AH147" s="8"/>
      <c r="AI147" s="8"/>
      <c r="AJ147" s="8"/>
      <c r="AK147" s="8"/>
      <c r="AL147" s="8"/>
    </row>
    <row r="148" spans="1:38" ht="15.75" customHeight="1">
      <c r="A148" s="17"/>
      <c r="B148" s="17"/>
      <c r="C148" s="17"/>
      <c r="D148" s="17"/>
      <c r="E148" s="35"/>
      <c r="F148" s="263"/>
      <c r="G148" s="257"/>
      <c r="H148" s="14" t="s">
        <v>46</v>
      </c>
      <c r="I148" s="233"/>
      <c r="J148" s="237" t="s">
        <v>437</v>
      </c>
      <c r="K148" s="92"/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92"/>
      <c r="Y148" s="15">
        <f t="shared" ref="Y148:Y159" si="337">SUM(L148:W148)</f>
        <v>0</v>
      </c>
      <c r="Z148" s="92"/>
      <c r="AA148" s="256">
        <f>IFERROR($Y149/$Y$191, 0)</f>
        <v>0</v>
      </c>
      <c r="AB148" s="239">
        <f>IFERROR($Y149/$Y$398, 0)</f>
        <v>0</v>
      </c>
      <c r="AC148" s="121"/>
      <c r="AD148" s="3"/>
      <c r="AE148" s="3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7">
        <v>100</v>
      </c>
      <c r="B149" s="17"/>
      <c r="C149" s="17"/>
      <c r="D149" s="17"/>
      <c r="E149" s="14"/>
      <c r="F149" s="18"/>
      <c r="G149" s="33"/>
      <c r="H149" s="14" t="s">
        <v>15</v>
      </c>
      <c r="I149" s="233"/>
      <c r="J149" s="237"/>
      <c r="K149" s="92"/>
      <c r="L149" s="19">
        <f t="shared" ref="L149:W149" si="338">$A149*L148</f>
        <v>0</v>
      </c>
      <c r="M149" s="19">
        <f t="shared" si="338"/>
        <v>0</v>
      </c>
      <c r="N149" s="19">
        <f t="shared" si="338"/>
        <v>0</v>
      </c>
      <c r="O149" s="19">
        <f t="shared" ref="O149:P149" si="339">$A149*O148</f>
        <v>0</v>
      </c>
      <c r="P149" s="19">
        <f t="shared" si="339"/>
        <v>0</v>
      </c>
      <c r="Q149" s="19">
        <f t="shared" ref="Q149" si="340">$A149*Q148</f>
        <v>0</v>
      </c>
      <c r="R149" s="19">
        <f t="shared" si="338"/>
        <v>0</v>
      </c>
      <c r="S149" s="19">
        <f t="shared" si="338"/>
        <v>0</v>
      </c>
      <c r="T149" s="19">
        <f t="shared" si="338"/>
        <v>0</v>
      </c>
      <c r="U149" s="19">
        <f t="shared" si="338"/>
        <v>0</v>
      </c>
      <c r="V149" s="19">
        <f t="shared" si="338"/>
        <v>0</v>
      </c>
      <c r="W149" s="19">
        <f t="shared" si="338"/>
        <v>0</v>
      </c>
      <c r="X149" s="92"/>
      <c r="Y149" s="20">
        <f t="shared" si="337"/>
        <v>0</v>
      </c>
      <c r="Z149" s="92"/>
      <c r="AA149" s="257"/>
      <c r="AB149" s="258"/>
      <c r="AC149" s="121"/>
      <c r="AD149" s="3"/>
      <c r="AE149" s="3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7"/>
      <c r="B150" s="17"/>
      <c r="C150" s="17"/>
      <c r="D150" s="17"/>
      <c r="E150" s="35"/>
      <c r="F150" s="263"/>
      <c r="G150" s="257"/>
      <c r="H150" s="14" t="s">
        <v>46</v>
      </c>
      <c r="I150" s="233"/>
      <c r="J150" s="237" t="s">
        <v>437</v>
      </c>
      <c r="K150" s="92"/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92"/>
      <c r="Y150" s="15">
        <f t="shared" si="337"/>
        <v>0</v>
      </c>
      <c r="Z150" s="92"/>
      <c r="AA150" s="256">
        <f>IFERROR($Y151/$Y$191, 0)</f>
        <v>0</v>
      </c>
      <c r="AB150" s="239">
        <f>IFERROR($Y151/$Y$398, 0)</f>
        <v>0</v>
      </c>
      <c r="AC150" s="121"/>
      <c r="AD150" s="3"/>
      <c r="AE150" s="3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7">
        <v>100</v>
      </c>
      <c r="B151" s="17"/>
      <c r="C151" s="17"/>
      <c r="D151" s="17"/>
      <c r="E151" s="14"/>
      <c r="F151" s="18"/>
      <c r="G151" s="33"/>
      <c r="H151" s="14" t="s">
        <v>15</v>
      </c>
      <c r="I151" s="233"/>
      <c r="J151" s="237"/>
      <c r="K151" s="92"/>
      <c r="L151" s="19">
        <f t="shared" ref="L151:W151" si="341">$A151*L150</f>
        <v>0</v>
      </c>
      <c r="M151" s="19">
        <f t="shared" si="341"/>
        <v>0</v>
      </c>
      <c r="N151" s="19">
        <f t="shared" si="341"/>
        <v>0</v>
      </c>
      <c r="O151" s="19">
        <f t="shared" ref="O151:P151" si="342">$A151*O150</f>
        <v>0</v>
      </c>
      <c r="P151" s="19">
        <f t="shared" si="342"/>
        <v>0</v>
      </c>
      <c r="Q151" s="19">
        <f t="shared" ref="Q151" si="343">$A151*Q150</f>
        <v>0</v>
      </c>
      <c r="R151" s="19">
        <f t="shared" si="341"/>
        <v>0</v>
      </c>
      <c r="S151" s="19">
        <f t="shared" si="341"/>
        <v>0</v>
      </c>
      <c r="T151" s="19">
        <f t="shared" si="341"/>
        <v>0</v>
      </c>
      <c r="U151" s="19">
        <f t="shared" si="341"/>
        <v>0</v>
      </c>
      <c r="V151" s="19">
        <f t="shared" si="341"/>
        <v>0</v>
      </c>
      <c r="W151" s="19">
        <f t="shared" si="341"/>
        <v>0</v>
      </c>
      <c r="X151" s="92"/>
      <c r="Y151" s="20">
        <f t="shared" si="337"/>
        <v>0</v>
      </c>
      <c r="Z151" s="92"/>
      <c r="AA151" s="257"/>
      <c r="AB151" s="258"/>
      <c r="AC151" s="121"/>
      <c r="AD151" s="3"/>
      <c r="AE151" s="3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7"/>
      <c r="B152" s="17"/>
      <c r="C152" s="17"/>
      <c r="D152" s="17"/>
      <c r="E152" s="35"/>
      <c r="F152" s="263"/>
      <c r="G152" s="257"/>
      <c r="H152" s="14" t="s">
        <v>46</v>
      </c>
      <c r="I152" s="233"/>
      <c r="J152" s="237" t="s">
        <v>437</v>
      </c>
      <c r="K152" s="92"/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92"/>
      <c r="Y152" s="15">
        <f t="shared" si="337"/>
        <v>0</v>
      </c>
      <c r="Z152" s="92"/>
      <c r="AA152" s="256">
        <f>IFERROR($Y153/$Y$191, 0)</f>
        <v>0</v>
      </c>
      <c r="AB152" s="239">
        <f>IFERROR($Y153/$Y$398, 0)</f>
        <v>0</v>
      </c>
      <c r="AC152" s="121"/>
      <c r="AD152" s="3"/>
      <c r="AE152" s="3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7">
        <v>100</v>
      </c>
      <c r="B153" s="17"/>
      <c r="C153" s="17"/>
      <c r="D153" s="17"/>
      <c r="E153" s="14"/>
      <c r="F153" s="18"/>
      <c r="G153" s="33"/>
      <c r="H153" s="14" t="s">
        <v>15</v>
      </c>
      <c r="I153" s="233"/>
      <c r="J153" s="237"/>
      <c r="K153" s="92"/>
      <c r="L153" s="19">
        <f t="shared" ref="L153:W153" si="344">$A153*L152</f>
        <v>0</v>
      </c>
      <c r="M153" s="19">
        <f t="shared" si="344"/>
        <v>0</v>
      </c>
      <c r="N153" s="19">
        <f t="shared" si="344"/>
        <v>0</v>
      </c>
      <c r="O153" s="19">
        <f t="shared" ref="O153:P153" si="345">$A153*O152</f>
        <v>0</v>
      </c>
      <c r="P153" s="19">
        <f t="shared" si="345"/>
        <v>0</v>
      </c>
      <c r="Q153" s="19">
        <f t="shared" ref="Q153" si="346">$A153*Q152</f>
        <v>0</v>
      </c>
      <c r="R153" s="19">
        <f t="shared" si="344"/>
        <v>0</v>
      </c>
      <c r="S153" s="19">
        <f t="shared" si="344"/>
        <v>0</v>
      </c>
      <c r="T153" s="19">
        <f t="shared" si="344"/>
        <v>0</v>
      </c>
      <c r="U153" s="19">
        <f t="shared" si="344"/>
        <v>0</v>
      </c>
      <c r="V153" s="19">
        <f t="shared" si="344"/>
        <v>0</v>
      </c>
      <c r="W153" s="19">
        <f t="shared" si="344"/>
        <v>0</v>
      </c>
      <c r="X153" s="92"/>
      <c r="Y153" s="20">
        <f t="shared" si="337"/>
        <v>0</v>
      </c>
      <c r="Z153" s="92"/>
      <c r="AA153" s="257"/>
      <c r="AB153" s="258"/>
      <c r="AC153" s="121"/>
      <c r="AD153" s="3"/>
      <c r="AE153" s="3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7"/>
      <c r="B154" s="17"/>
      <c r="C154" s="17"/>
      <c r="D154" s="17"/>
      <c r="E154" s="18"/>
      <c r="F154" s="18"/>
      <c r="G154" s="33"/>
      <c r="H154" s="14" t="s">
        <v>46</v>
      </c>
      <c r="I154" s="233"/>
      <c r="J154" s="237" t="s">
        <v>437</v>
      </c>
      <c r="K154" s="92"/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92"/>
      <c r="Y154" s="15">
        <f t="shared" si="337"/>
        <v>0</v>
      </c>
      <c r="Z154" s="92"/>
      <c r="AA154" s="256">
        <f>IFERROR($Y155/$Y$191, 0)</f>
        <v>0</v>
      </c>
      <c r="AB154" s="239">
        <f>IFERROR($Y155/$Y$398, 0)</f>
        <v>0</v>
      </c>
      <c r="AC154" s="121"/>
      <c r="AD154" s="3"/>
      <c r="AE154" s="3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7">
        <v>100</v>
      </c>
      <c r="B155" s="17"/>
      <c r="C155" s="17"/>
      <c r="D155" s="17"/>
      <c r="E155" s="14"/>
      <c r="F155" s="18"/>
      <c r="G155" s="33"/>
      <c r="H155" s="14" t="s">
        <v>15</v>
      </c>
      <c r="I155" s="233"/>
      <c r="J155" s="237"/>
      <c r="K155" s="92"/>
      <c r="L155" s="19">
        <f t="shared" ref="L155:W155" si="347">$A155*L154</f>
        <v>0</v>
      </c>
      <c r="M155" s="19">
        <f t="shared" si="347"/>
        <v>0</v>
      </c>
      <c r="N155" s="19">
        <f t="shared" si="347"/>
        <v>0</v>
      </c>
      <c r="O155" s="19">
        <f t="shared" ref="O155:P155" si="348">$A155*O154</f>
        <v>0</v>
      </c>
      <c r="P155" s="19">
        <f t="shared" si="348"/>
        <v>0</v>
      </c>
      <c r="Q155" s="19">
        <f t="shared" ref="Q155" si="349">$A155*Q154</f>
        <v>0</v>
      </c>
      <c r="R155" s="19">
        <f t="shared" si="347"/>
        <v>0</v>
      </c>
      <c r="S155" s="19">
        <f t="shared" si="347"/>
        <v>0</v>
      </c>
      <c r="T155" s="19">
        <f t="shared" si="347"/>
        <v>0</v>
      </c>
      <c r="U155" s="19">
        <f t="shared" si="347"/>
        <v>0</v>
      </c>
      <c r="V155" s="19">
        <f t="shared" si="347"/>
        <v>0</v>
      </c>
      <c r="W155" s="19">
        <f t="shared" si="347"/>
        <v>0</v>
      </c>
      <c r="X155" s="92"/>
      <c r="Y155" s="20">
        <f t="shared" si="337"/>
        <v>0</v>
      </c>
      <c r="Z155" s="92"/>
      <c r="AA155" s="257"/>
      <c r="AB155" s="258"/>
      <c r="AC155" s="121"/>
      <c r="AD155" s="3"/>
      <c r="AE155" s="3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7"/>
      <c r="B156" s="17"/>
      <c r="C156" s="17"/>
      <c r="D156" s="17"/>
      <c r="E156" s="18"/>
      <c r="F156" s="18"/>
      <c r="G156" s="33"/>
      <c r="H156" s="14" t="s">
        <v>46</v>
      </c>
      <c r="I156" s="233"/>
      <c r="J156" s="237" t="s">
        <v>437</v>
      </c>
      <c r="K156" s="92"/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92"/>
      <c r="Y156" s="15">
        <f t="shared" si="337"/>
        <v>0</v>
      </c>
      <c r="Z156" s="92"/>
      <c r="AA156" s="256">
        <f>IFERROR($Y157/$Y$191, 0)</f>
        <v>0</v>
      </c>
      <c r="AB156" s="239">
        <f>IFERROR($Y157/$Y$398, 0)</f>
        <v>0</v>
      </c>
      <c r="AC156" s="121"/>
      <c r="AD156" s="3"/>
      <c r="AE156" s="3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7">
        <v>100</v>
      </c>
      <c r="B157" s="17"/>
      <c r="C157" s="17"/>
      <c r="D157" s="17"/>
      <c r="E157" s="14"/>
      <c r="F157" s="18"/>
      <c r="G157" s="33"/>
      <c r="H157" s="14" t="s">
        <v>15</v>
      </c>
      <c r="I157" s="233"/>
      <c r="J157" s="237"/>
      <c r="K157" s="92"/>
      <c r="L157" s="19">
        <f t="shared" ref="L157:W157" si="350">$A157*L156</f>
        <v>0</v>
      </c>
      <c r="M157" s="19">
        <f t="shared" si="350"/>
        <v>0</v>
      </c>
      <c r="N157" s="19">
        <f t="shared" si="350"/>
        <v>0</v>
      </c>
      <c r="O157" s="19">
        <f t="shared" ref="O157:P157" si="351">$A157*O156</f>
        <v>0</v>
      </c>
      <c r="P157" s="19">
        <f t="shared" si="351"/>
        <v>0</v>
      </c>
      <c r="Q157" s="19">
        <f t="shared" ref="Q157" si="352">$A157*Q156</f>
        <v>0</v>
      </c>
      <c r="R157" s="19">
        <f t="shared" si="350"/>
        <v>0</v>
      </c>
      <c r="S157" s="19">
        <f t="shared" si="350"/>
        <v>0</v>
      </c>
      <c r="T157" s="19">
        <f t="shared" si="350"/>
        <v>0</v>
      </c>
      <c r="U157" s="19">
        <f t="shared" si="350"/>
        <v>0</v>
      </c>
      <c r="V157" s="19">
        <f t="shared" si="350"/>
        <v>0</v>
      </c>
      <c r="W157" s="19">
        <f t="shared" si="350"/>
        <v>0</v>
      </c>
      <c r="X157" s="92"/>
      <c r="Y157" s="20">
        <f t="shared" si="337"/>
        <v>0</v>
      </c>
      <c r="Z157" s="92"/>
      <c r="AA157" s="257"/>
      <c r="AB157" s="258"/>
      <c r="AC157" s="121"/>
      <c r="AD157" s="3"/>
      <c r="AE157" s="3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7"/>
      <c r="B158" s="17"/>
      <c r="C158" s="17"/>
      <c r="D158" s="17"/>
      <c r="E158" s="18"/>
      <c r="F158" s="18"/>
      <c r="G158" s="33"/>
      <c r="H158" s="14" t="s">
        <v>46</v>
      </c>
      <c r="I158" s="233"/>
      <c r="J158" s="237" t="s">
        <v>437</v>
      </c>
      <c r="K158" s="92"/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92"/>
      <c r="Y158" s="15">
        <f t="shared" si="337"/>
        <v>0</v>
      </c>
      <c r="Z158" s="92"/>
      <c r="AA158" s="256">
        <f>IFERROR($Y159/$Y$191, 0)</f>
        <v>0</v>
      </c>
      <c r="AB158" s="239">
        <f>IFERROR($Y159/$Y$398, 0)</f>
        <v>0</v>
      </c>
      <c r="AC158" s="121"/>
      <c r="AD158" s="3"/>
      <c r="AE158" s="3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7">
        <v>100</v>
      </c>
      <c r="B159" s="17"/>
      <c r="C159" s="17"/>
      <c r="D159" s="17"/>
      <c r="E159" s="14"/>
      <c r="F159" s="18"/>
      <c r="G159" s="33"/>
      <c r="H159" s="14" t="s">
        <v>15</v>
      </c>
      <c r="I159" s="233"/>
      <c r="J159" s="237"/>
      <c r="K159" s="92"/>
      <c r="L159" s="19">
        <f t="shared" ref="L159:W159" si="353">$A159*L158</f>
        <v>0</v>
      </c>
      <c r="M159" s="19">
        <f t="shared" si="353"/>
        <v>0</v>
      </c>
      <c r="N159" s="19">
        <f t="shared" si="353"/>
        <v>0</v>
      </c>
      <c r="O159" s="19">
        <f t="shared" ref="O159:P159" si="354">$A159*O158</f>
        <v>0</v>
      </c>
      <c r="P159" s="19">
        <f t="shared" si="354"/>
        <v>0</v>
      </c>
      <c r="Q159" s="19">
        <f t="shared" ref="Q159" si="355">$A159*Q158</f>
        <v>0</v>
      </c>
      <c r="R159" s="19">
        <f t="shared" si="353"/>
        <v>0</v>
      </c>
      <c r="S159" s="19">
        <f t="shared" si="353"/>
        <v>0</v>
      </c>
      <c r="T159" s="19">
        <f t="shared" si="353"/>
        <v>0</v>
      </c>
      <c r="U159" s="19">
        <f t="shared" si="353"/>
        <v>0</v>
      </c>
      <c r="V159" s="19">
        <f t="shared" si="353"/>
        <v>0</v>
      </c>
      <c r="W159" s="19">
        <f t="shared" si="353"/>
        <v>0</v>
      </c>
      <c r="X159" s="92"/>
      <c r="Y159" s="20">
        <f t="shared" si="337"/>
        <v>0</v>
      </c>
      <c r="Z159" s="92"/>
      <c r="AA159" s="257"/>
      <c r="AB159" s="258"/>
      <c r="AC159" s="121"/>
      <c r="AD159" s="3"/>
      <c r="AE159" s="3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7"/>
      <c r="B160" s="17"/>
      <c r="C160" s="17"/>
      <c r="D160" s="17"/>
      <c r="E160" s="14"/>
      <c r="F160" s="18"/>
      <c r="G160" s="33"/>
      <c r="H160" s="14"/>
      <c r="I160" s="126"/>
      <c r="J160" s="126"/>
      <c r="K160" s="92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92"/>
      <c r="Y160" s="20"/>
      <c r="Z160" s="92"/>
      <c r="AA160" s="157"/>
      <c r="AB160" s="158"/>
      <c r="AC160" s="121"/>
      <c r="AD160" s="3"/>
      <c r="AE160" s="3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7"/>
      <c r="B161" s="17"/>
      <c r="C161" s="17"/>
      <c r="D161" s="17"/>
      <c r="E161" s="25" t="s">
        <v>50</v>
      </c>
      <c r="F161" s="31"/>
      <c r="G161" s="28"/>
      <c r="H161" s="127" t="s">
        <v>418</v>
      </c>
      <c r="I161" s="126"/>
      <c r="J161" s="126"/>
      <c r="K161" s="92"/>
      <c r="L161" s="26">
        <f t="shared" ref="L161:W161" si="356">SUMIF($H$147:$H$162,"$$$",L$147:L$162)</f>
        <v>0</v>
      </c>
      <c r="M161" s="26">
        <f t="shared" si="356"/>
        <v>0</v>
      </c>
      <c r="N161" s="26">
        <f t="shared" si="356"/>
        <v>0</v>
      </c>
      <c r="O161" s="26">
        <f t="shared" si="356"/>
        <v>0</v>
      </c>
      <c r="P161" s="26">
        <f t="shared" si="356"/>
        <v>0</v>
      </c>
      <c r="Q161" s="26">
        <f t="shared" si="356"/>
        <v>0</v>
      </c>
      <c r="R161" s="26">
        <f t="shared" si="356"/>
        <v>0</v>
      </c>
      <c r="S161" s="26">
        <f t="shared" si="356"/>
        <v>0</v>
      </c>
      <c r="T161" s="26">
        <f t="shared" si="356"/>
        <v>0</v>
      </c>
      <c r="U161" s="26">
        <f t="shared" si="356"/>
        <v>0</v>
      </c>
      <c r="V161" s="26">
        <f t="shared" si="356"/>
        <v>0</v>
      </c>
      <c r="W161" s="26">
        <f t="shared" si="356"/>
        <v>0</v>
      </c>
      <c r="X161" s="92"/>
      <c r="Y161" s="27">
        <f>SUM(L161:W161)</f>
        <v>0</v>
      </c>
      <c r="Z161" s="92"/>
      <c r="AA161" s="34">
        <f>IFERROR($Y161/$Y$191, 0)</f>
        <v>0</v>
      </c>
      <c r="AB161" s="29">
        <f>IFERROR($Y161/$Y$398, 0)</f>
        <v>0</v>
      </c>
      <c r="AC161" s="123"/>
      <c r="AD161" s="7"/>
      <c r="AE161" s="7"/>
      <c r="AF161" s="8"/>
      <c r="AG161" s="8"/>
      <c r="AH161" s="8"/>
      <c r="AI161" s="8"/>
      <c r="AJ161" s="8"/>
      <c r="AK161" s="8"/>
      <c r="AL161" s="8"/>
    </row>
    <row r="162" spans="1:38" ht="27.6">
      <c r="A162" s="5" t="s">
        <v>48</v>
      </c>
      <c r="B162" s="5"/>
      <c r="C162" s="5"/>
      <c r="D162" s="5"/>
      <c r="E162" s="5" t="s">
        <v>51</v>
      </c>
      <c r="F162" s="260" t="s">
        <v>31</v>
      </c>
      <c r="G162" s="257"/>
      <c r="H162" s="14"/>
      <c r="I162" s="126"/>
      <c r="J162" s="126"/>
      <c r="K162" s="92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92"/>
      <c r="Y162" s="15"/>
      <c r="Z162" s="92"/>
      <c r="AA162" s="159"/>
      <c r="AB162" s="160"/>
      <c r="AC162" s="123"/>
      <c r="AD162" s="7"/>
      <c r="AE162" s="7"/>
      <c r="AF162" s="8"/>
      <c r="AG162" s="8"/>
      <c r="AH162" s="8"/>
      <c r="AI162" s="8"/>
      <c r="AJ162" s="8"/>
      <c r="AK162" s="8"/>
      <c r="AL162" s="8"/>
    </row>
    <row r="163" spans="1:38" ht="15.75" customHeight="1">
      <c r="A163" s="17"/>
      <c r="B163" s="17"/>
      <c r="C163" s="17"/>
      <c r="D163" s="17"/>
      <c r="E163" s="35"/>
      <c r="F163" s="263"/>
      <c r="G163" s="257"/>
      <c r="H163" s="14" t="s">
        <v>46</v>
      </c>
      <c r="I163" s="233"/>
      <c r="J163" s="237" t="s">
        <v>437</v>
      </c>
      <c r="K163" s="92"/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92"/>
      <c r="Y163" s="15">
        <f t="shared" ref="Y163:Y174" si="357">SUM(L163:W163)</f>
        <v>0</v>
      </c>
      <c r="Z163" s="92"/>
      <c r="AA163" s="256">
        <f>IFERROR($Y164/$Y$191, 0)</f>
        <v>0</v>
      </c>
      <c r="AB163" s="239">
        <f>IFERROR($Y164/$Y$398, 0)</f>
        <v>0</v>
      </c>
      <c r="AC163" s="121"/>
      <c r="AD163" s="3"/>
      <c r="AE163" s="3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7">
        <v>100</v>
      </c>
      <c r="B164" s="17"/>
      <c r="C164" s="17"/>
      <c r="D164" s="17"/>
      <c r="E164" s="14" t="s">
        <v>32</v>
      </c>
      <c r="F164" s="262"/>
      <c r="G164" s="257"/>
      <c r="H164" s="14" t="s">
        <v>15</v>
      </c>
      <c r="I164" s="233"/>
      <c r="J164" s="237"/>
      <c r="K164" s="92"/>
      <c r="L164" s="19">
        <f t="shared" ref="L164:W164" si="358">$A164*L163</f>
        <v>0</v>
      </c>
      <c r="M164" s="19">
        <f t="shared" si="358"/>
        <v>0</v>
      </c>
      <c r="N164" s="19">
        <f t="shared" si="358"/>
        <v>0</v>
      </c>
      <c r="O164" s="19">
        <f t="shared" ref="O164:P164" si="359">$A164*O163</f>
        <v>0</v>
      </c>
      <c r="P164" s="19">
        <f t="shared" si="359"/>
        <v>0</v>
      </c>
      <c r="Q164" s="19">
        <f t="shared" ref="Q164" si="360">$A164*Q163</f>
        <v>0</v>
      </c>
      <c r="R164" s="19">
        <f t="shared" si="358"/>
        <v>0</v>
      </c>
      <c r="S164" s="19">
        <f t="shared" si="358"/>
        <v>0</v>
      </c>
      <c r="T164" s="19">
        <f t="shared" si="358"/>
        <v>0</v>
      </c>
      <c r="U164" s="19">
        <f t="shared" si="358"/>
        <v>0</v>
      </c>
      <c r="V164" s="19">
        <f t="shared" si="358"/>
        <v>0</v>
      </c>
      <c r="W164" s="19">
        <f t="shared" si="358"/>
        <v>0</v>
      </c>
      <c r="X164" s="92"/>
      <c r="Y164" s="20">
        <f t="shared" si="357"/>
        <v>0</v>
      </c>
      <c r="Z164" s="92"/>
      <c r="AA164" s="257"/>
      <c r="AB164" s="258"/>
      <c r="AC164" s="121"/>
      <c r="AD164" s="3"/>
      <c r="AE164" s="3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7"/>
      <c r="B165" s="17"/>
      <c r="C165" s="17"/>
      <c r="D165" s="17"/>
      <c r="E165" s="13"/>
      <c r="F165" s="36"/>
      <c r="G165" s="36"/>
      <c r="H165" s="14" t="s">
        <v>46</v>
      </c>
      <c r="I165" s="233"/>
      <c r="J165" s="237" t="s">
        <v>437</v>
      </c>
      <c r="K165" s="92"/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92"/>
      <c r="Y165" s="15">
        <f t="shared" si="357"/>
        <v>0</v>
      </c>
      <c r="Z165" s="92"/>
      <c r="AA165" s="256">
        <f>IFERROR($Y166/$Y$191, 0)</f>
        <v>0</v>
      </c>
      <c r="AB165" s="239">
        <f>IFERROR($Y166/$Y$398, 0)</f>
        <v>0</v>
      </c>
      <c r="AC165" s="121"/>
      <c r="AD165" s="3"/>
      <c r="AE165" s="3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7">
        <v>100</v>
      </c>
      <c r="B166" s="17"/>
      <c r="C166" s="17"/>
      <c r="D166" s="17"/>
      <c r="E166" s="14" t="s">
        <v>32</v>
      </c>
      <c r="F166" s="262"/>
      <c r="G166" s="257"/>
      <c r="H166" s="14" t="s">
        <v>15</v>
      </c>
      <c r="I166" s="233"/>
      <c r="J166" s="237"/>
      <c r="K166" s="92"/>
      <c r="L166" s="19">
        <f t="shared" ref="L166:W166" si="361">$A166*L165</f>
        <v>0</v>
      </c>
      <c r="M166" s="19">
        <f t="shared" si="361"/>
        <v>0</v>
      </c>
      <c r="N166" s="19">
        <f t="shared" si="361"/>
        <v>0</v>
      </c>
      <c r="O166" s="19">
        <f t="shared" ref="O166:P166" si="362">$A166*O165</f>
        <v>0</v>
      </c>
      <c r="P166" s="19">
        <f t="shared" si="362"/>
        <v>0</v>
      </c>
      <c r="Q166" s="19">
        <f t="shared" ref="Q166" si="363">$A166*Q165</f>
        <v>0</v>
      </c>
      <c r="R166" s="19">
        <f t="shared" si="361"/>
        <v>0</v>
      </c>
      <c r="S166" s="19">
        <f t="shared" si="361"/>
        <v>0</v>
      </c>
      <c r="T166" s="19">
        <f t="shared" si="361"/>
        <v>0</v>
      </c>
      <c r="U166" s="19">
        <f t="shared" si="361"/>
        <v>0</v>
      </c>
      <c r="V166" s="19">
        <f t="shared" si="361"/>
        <v>0</v>
      </c>
      <c r="W166" s="19">
        <f t="shared" si="361"/>
        <v>0</v>
      </c>
      <c r="X166" s="92"/>
      <c r="Y166" s="20">
        <f t="shared" si="357"/>
        <v>0</v>
      </c>
      <c r="Z166" s="92"/>
      <c r="AA166" s="257"/>
      <c r="AB166" s="258"/>
      <c r="AC166" s="121"/>
      <c r="AD166" s="3"/>
      <c r="AE166" s="3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7"/>
      <c r="B167" s="17"/>
      <c r="C167" s="17"/>
      <c r="D167" s="17"/>
      <c r="E167" s="13"/>
      <c r="F167" s="36"/>
      <c r="G167" s="36"/>
      <c r="H167" s="14" t="s">
        <v>46</v>
      </c>
      <c r="I167" s="233"/>
      <c r="J167" s="237" t="s">
        <v>437</v>
      </c>
      <c r="K167" s="92"/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92"/>
      <c r="Y167" s="15">
        <f t="shared" si="357"/>
        <v>0</v>
      </c>
      <c r="Z167" s="92"/>
      <c r="AA167" s="256">
        <f>IFERROR($Y168/$Y$191, 0)</f>
        <v>0</v>
      </c>
      <c r="AB167" s="239">
        <f>IFERROR($Y168/$Y$398, 0)</f>
        <v>0</v>
      </c>
      <c r="AC167" s="121"/>
      <c r="AD167" s="3"/>
      <c r="AE167" s="3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7">
        <v>100</v>
      </c>
      <c r="B168" s="17"/>
      <c r="C168" s="17"/>
      <c r="D168" s="17"/>
      <c r="E168" s="14" t="s">
        <v>32</v>
      </c>
      <c r="F168" s="262"/>
      <c r="G168" s="257"/>
      <c r="H168" s="14" t="s">
        <v>15</v>
      </c>
      <c r="I168" s="233"/>
      <c r="J168" s="237"/>
      <c r="K168" s="92"/>
      <c r="L168" s="19">
        <f t="shared" ref="L168:W168" si="364">$A168*L167</f>
        <v>0</v>
      </c>
      <c r="M168" s="19">
        <f t="shared" si="364"/>
        <v>0</v>
      </c>
      <c r="N168" s="19">
        <f t="shared" si="364"/>
        <v>0</v>
      </c>
      <c r="O168" s="19">
        <f t="shared" ref="O168:P168" si="365">$A168*O167</f>
        <v>0</v>
      </c>
      <c r="P168" s="19">
        <f t="shared" si="365"/>
        <v>0</v>
      </c>
      <c r="Q168" s="19">
        <f t="shared" ref="Q168" si="366">$A168*Q167</f>
        <v>0</v>
      </c>
      <c r="R168" s="19">
        <f t="shared" si="364"/>
        <v>0</v>
      </c>
      <c r="S168" s="19">
        <f t="shared" si="364"/>
        <v>0</v>
      </c>
      <c r="T168" s="19">
        <f t="shared" si="364"/>
        <v>0</v>
      </c>
      <c r="U168" s="19">
        <f t="shared" si="364"/>
        <v>0</v>
      </c>
      <c r="V168" s="19">
        <f t="shared" si="364"/>
        <v>0</v>
      </c>
      <c r="W168" s="19">
        <f t="shared" si="364"/>
        <v>0</v>
      </c>
      <c r="X168" s="92"/>
      <c r="Y168" s="20">
        <f t="shared" si="357"/>
        <v>0</v>
      </c>
      <c r="Z168" s="92"/>
      <c r="AA168" s="257"/>
      <c r="AB168" s="258"/>
      <c r="AC168" s="121"/>
      <c r="AD168" s="3"/>
      <c r="AE168" s="3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7"/>
      <c r="B169" s="17"/>
      <c r="C169" s="17"/>
      <c r="D169" s="17"/>
      <c r="E169" s="13"/>
      <c r="F169" s="18"/>
      <c r="G169" s="33"/>
      <c r="H169" s="14" t="s">
        <v>46</v>
      </c>
      <c r="I169" s="233"/>
      <c r="J169" s="237" t="s">
        <v>437</v>
      </c>
      <c r="K169" s="92"/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92"/>
      <c r="Y169" s="15">
        <f t="shared" si="357"/>
        <v>0</v>
      </c>
      <c r="Z169" s="92"/>
      <c r="AA169" s="256">
        <f>IFERROR($Y170/$Y$191, 0)</f>
        <v>0</v>
      </c>
      <c r="AB169" s="239">
        <f>IFERROR($Y170/$Y$398, 0)</f>
        <v>0</v>
      </c>
      <c r="AC169" s="121"/>
      <c r="AD169" s="3"/>
      <c r="AE169" s="3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7">
        <v>100</v>
      </c>
      <c r="B170" s="17"/>
      <c r="C170" s="17"/>
      <c r="D170" s="17"/>
      <c r="E170" s="14" t="s">
        <v>32</v>
      </c>
      <c r="F170" s="262"/>
      <c r="G170" s="257"/>
      <c r="H170" s="14" t="s">
        <v>15</v>
      </c>
      <c r="I170" s="233"/>
      <c r="J170" s="237"/>
      <c r="K170" s="92"/>
      <c r="L170" s="19">
        <f t="shared" ref="L170:W170" si="367">$A170*L169</f>
        <v>0</v>
      </c>
      <c r="M170" s="19">
        <f t="shared" si="367"/>
        <v>0</v>
      </c>
      <c r="N170" s="19">
        <f t="shared" si="367"/>
        <v>0</v>
      </c>
      <c r="O170" s="19">
        <f t="shared" ref="O170:P170" si="368">$A170*O169</f>
        <v>0</v>
      </c>
      <c r="P170" s="19">
        <f t="shared" si="368"/>
        <v>0</v>
      </c>
      <c r="Q170" s="19">
        <f t="shared" ref="Q170" si="369">$A170*Q169</f>
        <v>0</v>
      </c>
      <c r="R170" s="19">
        <f t="shared" si="367"/>
        <v>0</v>
      </c>
      <c r="S170" s="19">
        <f t="shared" si="367"/>
        <v>0</v>
      </c>
      <c r="T170" s="19">
        <f t="shared" si="367"/>
        <v>0</v>
      </c>
      <c r="U170" s="19">
        <f t="shared" si="367"/>
        <v>0</v>
      </c>
      <c r="V170" s="19">
        <f t="shared" si="367"/>
        <v>0</v>
      </c>
      <c r="W170" s="19">
        <f t="shared" si="367"/>
        <v>0</v>
      </c>
      <c r="X170" s="92"/>
      <c r="Y170" s="20">
        <f t="shared" si="357"/>
        <v>0</v>
      </c>
      <c r="Z170" s="92"/>
      <c r="AA170" s="257"/>
      <c r="AB170" s="258"/>
      <c r="AC170" s="121"/>
      <c r="AD170" s="3"/>
      <c r="AE170" s="3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7"/>
      <c r="B171" s="17"/>
      <c r="C171" s="17"/>
      <c r="D171" s="17"/>
      <c r="E171" s="13"/>
      <c r="F171" s="18"/>
      <c r="G171" s="33"/>
      <c r="H171" s="14" t="s">
        <v>46</v>
      </c>
      <c r="I171" s="233"/>
      <c r="J171" s="237" t="s">
        <v>437</v>
      </c>
      <c r="K171" s="92"/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92"/>
      <c r="Y171" s="15">
        <f t="shared" si="357"/>
        <v>0</v>
      </c>
      <c r="Z171" s="92"/>
      <c r="AA171" s="256">
        <f>IFERROR($Y172/$Y$191, 0)</f>
        <v>0</v>
      </c>
      <c r="AB171" s="239">
        <f>IFERROR($Y172/$Y$398, 0)</f>
        <v>0</v>
      </c>
      <c r="AC171" s="121"/>
      <c r="AD171" s="3"/>
      <c r="AE171" s="3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7">
        <v>100</v>
      </c>
      <c r="B172" s="17"/>
      <c r="C172" s="17"/>
      <c r="D172" s="17"/>
      <c r="E172" s="14" t="s">
        <v>32</v>
      </c>
      <c r="F172" s="262"/>
      <c r="G172" s="257"/>
      <c r="H172" s="14" t="s">
        <v>15</v>
      </c>
      <c r="I172" s="233"/>
      <c r="J172" s="237"/>
      <c r="K172" s="92"/>
      <c r="L172" s="19">
        <f t="shared" ref="L172:W172" si="370">$A172*L171</f>
        <v>0</v>
      </c>
      <c r="M172" s="19">
        <f t="shared" si="370"/>
        <v>0</v>
      </c>
      <c r="N172" s="19">
        <f t="shared" si="370"/>
        <v>0</v>
      </c>
      <c r="O172" s="19">
        <f t="shared" ref="O172:P172" si="371">$A172*O171</f>
        <v>0</v>
      </c>
      <c r="P172" s="19">
        <f t="shared" si="371"/>
        <v>0</v>
      </c>
      <c r="Q172" s="19">
        <f t="shared" ref="Q172" si="372">$A172*Q171</f>
        <v>0</v>
      </c>
      <c r="R172" s="19">
        <f t="shared" si="370"/>
        <v>0</v>
      </c>
      <c r="S172" s="19">
        <f t="shared" si="370"/>
        <v>0</v>
      </c>
      <c r="T172" s="19">
        <f t="shared" si="370"/>
        <v>0</v>
      </c>
      <c r="U172" s="19">
        <f t="shared" si="370"/>
        <v>0</v>
      </c>
      <c r="V172" s="19">
        <f t="shared" si="370"/>
        <v>0</v>
      </c>
      <c r="W172" s="19">
        <f t="shared" si="370"/>
        <v>0</v>
      </c>
      <c r="X172" s="92"/>
      <c r="Y172" s="20">
        <f t="shared" si="357"/>
        <v>0</v>
      </c>
      <c r="Z172" s="92"/>
      <c r="AA172" s="257"/>
      <c r="AB172" s="258"/>
      <c r="AC172" s="121"/>
      <c r="AD172" s="3"/>
      <c r="AE172" s="3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7"/>
      <c r="B173" s="17"/>
      <c r="C173" s="17"/>
      <c r="D173" s="17"/>
      <c r="E173" s="18"/>
      <c r="F173" s="18"/>
      <c r="G173" s="33"/>
      <c r="H173" s="14" t="s">
        <v>46</v>
      </c>
      <c r="I173" s="233"/>
      <c r="J173" s="237" t="s">
        <v>437</v>
      </c>
      <c r="K173" s="92"/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92"/>
      <c r="Y173" s="15">
        <f t="shared" si="357"/>
        <v>0</v>
      </c>
      <c r="Z173" s="92"/>
      <c r="AA173" s="256">
        <f>IFERROR($Y174/$Y$191, 0)</f>
        <v>0</v>
      </c>
      <c r="AB173" s="239">
        <f>IFERROR($Y174/$Y$398, 0)</f>
        <v>0</v>
      </c>
      <c r="AC173" s="121"/>
      <c r="AD173" s="3"/>
      <c r="AE173" s="3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7">
        <v>100</v>
      </c>
      <c r="B174" s="17"/>
      <c r="C174" s="17"/>
      <c r="D174" s="17"/>
      <c r="E174" s="14" t="s">
        <v>32</v>
      </c>
      <c r="F174" s="262"/>
      <c r="G174" s="257"/>
      <c r="H174" s="14" t="s">
        <v>15</v>
      </c>
      <c r="I174" s="233"/>
      <c r="J174" s="237"/>
      <c r="K174" s="92"/>
      <c r="L174" s="19">
        <f t="shared" ref="L174:W174" si="373">$A174*L173</f>
        <v>0</v>
      </c>
      <c r="M174" s="19">
        <f t="shared" si="373"/>
        <v>0</v>
      </c>
      <c r="N174" s="19">
        <f t="shared" si="373"/>
        <v>0</v>
      </c>
      <c r="O174" s="19">
        <f t="shared" ref="O174:P174" si="374">$A174*O173</f>
        <v>0</v>
      </c>
      <c r="P174" s="19">
        <f t="shared" si="374"/>
        <v>0</v>
      </c>
      <c r="Q174" s="19">
        <f t="shared" ref="Q174" si="375">$A174*Q173</f>
        <v>0</v>
      </c>
      <c r="R174" s="19">
        <f t="shared" si="373"/>
        <v>0</v>
      </c>
      <c r="S174" s="19">
        <f t="shared" si="373"/>
        <v>0</v>
      </c>
      <c r="T174" s="19">
        <f t="shared" si="373"/>
        <v>0</v>
      </c>
      <c r="U174" s="19">
        <f t="shared" si="373"/>
        <v>0</v>
      </c>
      <c r="V174" s="19">
        <f t="shared" si="373"/>
        <v>0</v>
      </c>
      <c r="W174" s="19">
        <f t="shared" si="373"/>
        <v>0</v>
      </c>
      <c r="X174" s="92"/>
      <c r="Y174" s="20">
        <f t="shared" si="357"/>
        <v>0</v>
      </c>
      <c r="Z174" s="92"/>
      <c r="AA174" s="257"/>
      <c r="AB174" s="258"/>
      <c r="AC174" s="121"/>
      <c r="AD174" s="3"/>
      <c r="AE174" s="3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7"/>
      <c r="B175" s="17"/>
      <c r="C175" s="17"/>
      <c r="D175" s="17"/>
      <c r="E175" s="14"/>
      <c r="F175" s="18"/>
      <c r="G175" s="33"/>
      <c r="H175" s="14"/>
      <c r="I175" s="126"/>
      <c r="J175" s="126"/>
      <c r="K175" s="92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92"/>
      <c r="Y175" s="20"/>
      <c r="Z175" s="92"/>
      <c r="AA175" s="157"/>
      <c r="AB175" s="158"/>
      <c r="AC175" s="121"/>
      <c r="AD175" s="3"/>
      <c r="AE175" s="3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7"/>
      <c r="B176" s="17"/>
      <c r="C176" s="17"/>
      <c r="D176" s="17"/>
      <c r="E176" s="25" t="s">
        <v>52</v>
      </c>
      <c r="F176" s="31"/>
      <c r="G176" s="28"/>
      <c r="H176" s="127" t="s">
        <v>418</v>
      </c>
      <c r="I176" s="126"/>
      <c r="J176" s="126"/>
      <c r="K176" s="92"/>
      <c r="L176" s="26">
        <f t="shared" ref="L176:W176" si="376">SUMIF($H$162:$H$177,"$$$",L$162:L$177)</f>
        <v>0</v>
      </c>
      <c r="M176" s="26">
        <f t="shared" si="376"/>
        <v>0</v>
      </c>
      <c r="N176" s="26">
        <f t="shared" si="376"/>
        <v>0</v>
      </c>
      <c r="O176" s="26">
        <f t="shared" si="376"/>
        <v>0</v>
      </c>
      <c r="P176" s="26">
        <f t="shared" si="376"/>
        <v>0</v>
      </c>
      <c r="Q176" s="26">
        <f t="shared" si="376"/>
        <v>0</v>
      </c>
      <c r="R176" s="26">
        <f t="shared" si="376"/>
        <v>0</v>
      </c>
      <c r="S176" s="26">
        <f t="shared" si="376"/>
        <v>0</v>
      </c>
      <c r="T176" s="26">
        <f t="shared" si="376"/>
        <v>0</v>
      </c>
      <c r="U176" s="26">
        <f t="shared" si="376"/>
        <v>0</v>
      </c>
      <c r="V176" s="26">
        <f t="shared" si="376"/>
        <v>0</v>
      </c>
      <c r="W176" s="26">
        <f t="shared" si="376"/>
        <v>0</v>
      </c>
      <c r="X176" s="92"/>
      <c r="Y176" s="27">
        <f>SUM(L176:W176)</f>
        <v>0</v>
      </c>
      <c r="Z176" s="92"/>
      <c r="AA176" s="34">
        <f>IFERROR($Y176/$Y$191, 0)</f>
        <v>0</v>
      </c>
      <c r="AB176" s="29">
        <f>IFERROR($Y176/$Y$398, 0)</f>
        <v>0</v>
      </c>
      <c r="AC176" s="123"/>
      <c r="AD176" s="7"/>
      <c r="AE176" s="7"/>
      <c r="AF176" s="8"/>
      <c r="AG176" s="8"/>
      <c r="AH176" s="8"/>
      <c r="AI176" s="8"/>
      <c r="AJ176" s="8"/>
      <c r="AK176" s="8"/>
      <c r="AL176" s="8"/>
    </row>
    <row r="177" spans="1:38" ht="25.5" customHeight="1">
      <c r="A177" s="5" t="s">
        <v>53</v>
      </c>
      <c r="B177" s="5"/>
      <c r="C177" s="5"/>
      <c r="D177" s="5"/>
      <c r="E177" s="5" t="s">
        <v>54</v>
      </c>
      <c r="F177" s="5" t="s">
        <v>55</v>
      </c>
      <c r="G177" s="5" t="s">
        <v>56</v>
      </c>
      <c r="H177" s="14"/>
      <c r="I177" s="126"/>
      <c r="J177" s="126"/>
      <c r="K177" s="92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92"/>
      <c r="Y177" s="15"/>
      <c r="Z177" s="92"/>
      <c r="AA177" s="159"/>
      <c r="AB177" s="160"/>
      <c r="AC177" s="123"/>
      <c r="AD177" s="7"/>
      <c r="AE177" s="7"/>
      <c r="AF177" s="8"/>
      <c r="AG177" s="8"/>
      <c r="AH177" s="8"/>
      <c r="AI177" s="8"/>
      <c r="AJ177" s="8"/>
      <c r="AK177" s="8"/>
      <c r="AL177" s="8"/>
    </row>
    <row r="178" spans="1:38" ht="15.75" customHeight="1">
      <c r="A178" s="17"/>
      <c r="B178" s="17"/>
      <c r="C178" s="17"/>
      <c r="D178" s="17"/>
      <c r="E178" s="18"/>
      <c r="F178" s="18"/>
      <c r="G178" s="18"/>
      <c r="H178" s="14" t="s">
        <v>58</v>
      </c>
      <c r="I178" s="233"/>
      <c r="J178" s="237" t="s">
        <v>437</v>
      </c>
      <c r="K178" s="92"/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92"/>
      <c r="Y178" s="15">
        <f t="shared" ref="Y178:Y187" si="377">SUM(L178:W178)</f>
        <v>0</v>
      </c>
      <c r="Z178" s="92"/>
      <c r="AA178" s="256">
        <f>IFERROR($Y179/$Y$191, 0)</f>
        <v>0</v>
      </c>
      <c r="AB178" s="239">
        <f>IFERROR($Y179/$Y$398, 0)</f>
        <v>0</v>
      </c>
      <c r="AC178" s="121"/>
      <c r="AD178" s="3"/>
      <c r="AE178" s="3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7">
        <v>100</v>
      </c>
      <c r="B179" s="17"/>
      <c r="C179" s="17"/>
      <c r="D179" s="17"/>
      <c r="E179" s="14"/>
      <c r="F179" s="37" t="s">
        <v>59</v>
      </c>
      <c r="G179" s="37"/>
      <c r="H179" s="14" t="s">
        <v>15</v>
      </c>
      <c r="I179" s="233"/>
      <c r="J179" s="237"/>
      <c r="K179" s="92"/>
      <c r="L179" s="19">
        <f t="shared" ref="L179:W179" si="378">$A179*L178</f>
        <v>0</v>
      </c>
      <c r="M179" s="19">
        <f t="shared" si="378"/>
        <v>0</v>
      </c>
      <c r="N179" s="19">
        <f t="shared" si="378"/>
        <v>0</v>
      </c>
      <c r="O179" s="19">
        <f t="shared" ref="O179:P179" si="379">$A179*O178</f>
        <v>0</v>
      </c>
      <c r="P179" s="19">
        <f t="shared" si="379"/>
        <v>0</v>
      </c>
      <c r="Q179" s="19">
        <f t="shared" ref="Q179" si="380">$A179*Q178</f>
        <v>0</v>
      </c>
      <c r="R179" s="19">
        <f t="shared" si="378"/>
        <v>0</v>
      </c>
      <c r="S179" s="19">
        <f t="shared" si="378"/>
        <v>0</v>
      </c>
      <c r="T179" s="19">
        <f t="shared" si="378"/>
        <v>0</v>
      </c>
      <c r="U179" s="19">
        <f t="shared" si="378"/>
        <v>0</v>
      </c>
      <c r="V179" s="19">
        <f t="shared" si="378"/>
        <v>0</v>
      </c>
      <c r="W179" s="19">
        <f t="shared" si="378"/>
        <v>0</v>
      </c>
      <c r="X179" s="92"/>
      <c r="Y179" s="20">
        <f t="shared" si="377"/>
        <v>0</v>
      </c>
      <c r="Z179" s="92"/>
      <c r="AA179" s="257"/>
      <c r="AB179" s="258"/>
      <c r="AC179" s="121"/>
      <c r="AD179" s="3"/>
      <c r="AE179" s="3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7"/>
      <c r="B180" s="17"/>
      <c r="C180" s="17"/>
      <c r="D180" s="17"/>
      <c r="E180" s="18"/>
      <c r="F180" s="18"/>
      <c r="G180" s="37"/>
      <c r="H180" s="14" t="s">
        <v>58</v>
      </c>
      <c r="I180" s="233"/>
      <c r="J180" s="237" t="s">
        <v>437</v>
      </c>
      <c r="K180" s="92"/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92"/>
      <c r="Y180" s="15">
        <f t="shared" si="377"/>
        <v>0</v>
      </c>
      <c r="Z180" s="92"/>
      <c r="AA180" s="256">
        <f>IFERROR($Y181/$Y$191, 0)</f>
        <v>0</v>
      </c>
      <c r="AB180" s="239">
        <f>IFERROR($Y181/$Y$398, 0)</f>
        <v>0</v>
      </c>
      <c r="AC180" s="121"/>
      <c r="AD180" s="3"/>
      <c r="AE180" s="3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7">
        <v>100</v>
      </c>
      <c r="B181" s="17"/>
      <c r="C181" s="17"/>
      <c r="D181" s="17"/>
      <c r="E181" s="14"/>
      <c r="F181" s="37" t="s">
        <v>59</v>
      </c>
      <c r="G181" s="37"/>
      <c r="H181" s="14" t="s">
        <v>15</v>
      </c>
      <c r="I181" s="233"/>
      <c r="J181" s="237"/>
      <c r="K181" s="92"/>
      <c r="L181" s="19">
        <f t="shared" ref="L181:W181" si="381">$A181*L180</f>
        <v>0</v>
      </c>
      <c r="M181" s="19">
        <f t="shared" si="381"/>
        <v>0</v>
      </c>
      <c r="N181" s="19">
        <f t="shared" si="381"/>
        <v>0</v>
      </c>
      <c r="O181" s="19">
        <f t="shared" ref="O181:P181" si="382">$A181*O180</f>
        <v>0</v>
      </c>
      <c r="P181" s="19">
        <f t="shared" si="382"/>
        <v>0</v>
      </c>
      <c r="Q181" s="19">
        <f t="shared" ref="Q181" si="383">$A181*Q180</f>
        <v>0</v>
      </c>
      <c r="R181" s="19">
        <f t="shared" si="381"/>
        <v>0</v>
      </c>
      <c r="S181" s="19">
        <f t="shared" si="381"/>
        <v>0</v>
      </c>
      <c r="T181" s="19">
        <f t="shared" si="381"/>
        <v>0</v>
      </c>
      <c r="U181" s="19">
        <f t="shared" si="381"/>
        <v>0</v>
      </c>
      <c r="V181" s="19">
        <f t="shared" si="381"/>
        <v>0</v>
      </c>
      <c r="W181" s="19">
        <f t="shared" si="381"/>
        <v>0</v>
      </c>
      <c r="X181" s="92"/>
      <c r="Y181" s="20">
        <f t="shared" si="377"/>
        <v>0</v>
      </c>
      <c r="Z181" s="92"/>
      <c r="AA181" s="257"/>
      <c r="AB181" s="258"/>
      <c r="AC181" s="121"/>
      <c r="AD181" s="3"/>
      <c r="AE181" s="3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7"/>
      <c r="B182" s="17"/>
      <c r="C182" s="17"/>
      <c r="D182" s="17"/>
      <c r="E182" s="18"/>
      <c r="F182" s="18"/>
      <c r="G182" s="37"/>
      <c r="H182" s="14" t="s">
        <v>58</v>
      </c>
      <c r="I182" s="233"/>
      <c r="J182" s="237" t="s">
        <v>437</v>
      </c>
      <c r="K182" s="92"/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92"/>
      <c r="Y182" s="15">
        <f t="shared" si="377"/>
        <v>0</v>
      </c>
      <c r="Z182" s="92"/>
      <c r="AA182" s="256">
        <f>IFERROR($Y183/$Y$191, 0)</f>
        <v>0</v>
      </c>
      <c r="AB182" s="239">
        <f>IFERROR($Y183/$Y$398, 0)</f>
        <v>0</v>
      </c>
      <c r="AC182" s="121"/>
      <c r="AD182" s="3"/>
      <c r="AE182" s="3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7">
        <v>100</v>
      </c>
      <c r="B183" s="17"/>
      <c r="C183" s="17"/>
      <c r="D183" s="17"/>
      <c r="E183" s="14"/>
      <c r="F183" s="37" t="s">
        <v>59</v>
      </c>
      <c r="G183" s="37"/>
      <c r="H183" s="14" t="s">
        <v>15</v>
      </c>
      <c r="I183" s="233"/>
      <c r="J183" s="237"/>
      <c r="K183" s="92"/>
      <c r="L183" s="19">
        <f t="shared" ref="L183:W183" si="384">$A183*L182</f>
        <v>0</v>
      </c>
      <c r="M183" s="19">
        <f t="shared" si="384"/>
        <v>0</v>
      </c>
      <c r="N183" s="19">
        <f t="shared" si="384"/>
        <v>0</v>
      </c>
      <c r="O183" s="19">
        <f t="shared" ref="O183:P183" si="385">$A183*O182</f>
        <v>0</v>
      </c>
      <c r="P183" s="19">
        <f t="shared" si="385"/>
        <v>0</v>
      </c>
      <c r="Q183" s="19">
        <f t="shared" ref="Q183" si="386">$A183*Q182</f>
        <v>0</v>
      </c>
      <c r="R183" s="19">
        <f t="shared" si="384"/>
        <v>0</v>
      </c>
      <c r="S183" s="19">
        <f t="shared" si="384"/>
        <v>0</v>
      </c>
      <c r="T183" s="19">
        <f t="shared" si="384"/>
        <v>0</v>
      </c>
      <c r="U183" s="19">
        <f t="shared" si="384"/>
        <v>0</v>
      </c>
      <c r="V183" s="19">
        <f t="shared" si="384"/>
        <v>0</v>
      </c>
      <c r="W183" s="19">
        <f t="shared" si="384"/>
        <v>0</v>
      </c>
      <c r="X183" s="92"/>
      <c r="Y183" s="20">
        <f t="shared" si="377"/>
        <v>0</v>
      </c>
      <c r="Z183" s="92"/>
      <c r="AA183" s="257"/>
      <c r="AB183" s="258"/>
      <c r="AC183" s="121"/>
      <c r="AD183" s="3"/>
      <c r="AE183" s="3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7"/>
      <c r="B184" s="17"/>
      <c r="C184" s="17"/>
      <c r="D184" s="17"/>
      <c r="E184" s="18"/>
      <c r="F184" s="18"/>
      <c r="G184" s="37"/>
      <c r="H184" s="14" t="s">
        <v>58</v>
      </c>
      <c r="I184" s="233"/>
      <c r="J184" s="237" t="s">
        <v>437</v>
      </c>
      <c r="K184" s="92"/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92"/>
      <c r="Y184" s="15">
        <f t="shared" si="377"/>
        <v>0</v>
      </c>
      <c r="Z184" s="92"/>
      <c r="AA184" s="256">
        <f>IFERROR($Y185/$Y$191, 0)</f>
        <v>0</v>
      </c>
      <c r="AB184" s="239">
        <f>IFERROR($Y185/$Y$398, 0)</f>
        <v>0</v>
      </c>
      <c r="AC184" s="121"/>
      <c r="AD184" s="3"/>
      <c r="AE184" s="3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7">
        <v>100</v>
      </c>
      <c r="B185" s="17"/>
      <c r="C185" s="17"/>
      <c r="D185" s="17"/>
      <c r="E185" s="14"/>
      <c r="F185" s="37" t="s">
        <v>59</v>
      </c>
      <c r="G185" s="37"/>
      <c r="H185" s="14" t="s">
        <v>15</v>
      </c>
      <c r="I185" s="233"/>
      <c r="J185" s="237"/>
      <c r="K185" s="92"/>
      <c r="L185" s="19">
        <f t="shared" ref="L185:W185" si="387">$A185*L184</f>
        <v>0</v>
      </c>
      <c r="M185" s="19">
        <f t="shared" si="387"/>
        <v>0</v>
      </c>
      <c r="N185" s="19">
        <f t="shared" si="387"/>
        <v>0</v>
      </c>
      <c r="O185" s="19">
        <f t="shared" ref="O185:P185" si="388">$A185*O184</f>
        <v>0</v>
      </c>
      <c r="P185" s="19">
        <f t="shared" si="388"/>
        <v>0</v>
      </c>
      <c r="Q185" s="19">
        <f t="shared" ref="Q185" si="389">$A185*Q184</f>
        <v>0</v>
      </c>
      <c r="R185" s="19">
        <f t="shared" si="387"/>
        <v>0</v>
      </c>
      <c r="S185" s="19">
        <f t="shared" si="387"/>
        <v>0</v>
      </c>
      <c r="T185" s="19">
        <f t="shared" si="387"/>
        <v>0</v>
      </c>
      <c r="U185" s="19">
        <f t="shared" si="387"/>
        <v>0</v>
      </c>
      <c r="V185" s="19">
        <f t="shared" si="387"/>
        <v>0</v>
      </c>
      <c r="W185" s="19">
        <f t="shared" si="387"/>
        <v>0</v>
      </c>
      <c r="X185" s="92"/>
      <c r="Y185" s="20">
        <f t="shared" si="377"/>
        <v>0</v>
      </c>
      <c r="Z185" s="92"/>
      <c r="AA185" s="257"/>
      <c r="AB185" s="258"/>
      <c r="AC185" s="121"/>
      <c r="AD185" s="3"/>
      <c r="AE185" s="3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7"/>
      <c r="B186" s="17"/>
      <c r="C186" s="17"/>
      <c r="D186" s="17"/>
      <c r="E186" s="18"/>
      <c r="F186" s="18"/>
      <c r="G186" s="37"/>
      <c r="H186" s="14" t="s">
        <v>58</v>
      </c>
      <c r="I186" s="233"/>
      <c r="J186" s="237" t="s">
        <v>437</v>
      </c>
      <c r="K186" s="92"/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92"/>
      <c r="Y186" s="15">
        <f t="shared" si="377"/>
        <v>0</v>
      </c>
      <c r="Z186" s="92"/>
      <c r="AA186" s="256">
        <f>IFERROR($Y187/$Y$191, 0)</f>
        <v>0</v>
      </c>
      <c r="AB186" s="239">
        <f>IFERROR($Y187/$Y$398, 0)</f>
        <v>0</v>
      </c>
      <c r="AC186" s="121"/>
      <c r="AD186" s="3"/>
      <c r="AE186" s="3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7">
        <v>100</v>
      </c>
      <c r="B187" s="17"/>
      <c r="C187" s="17"/>
      <c r="D187" s="17"/>
      <c r="E187" s="14"/>
      <c r="F187" s="37" t="s">
        <v>59</v>
      </c>
      <c r="G187" s="37"/>
      <c r="H187" s="14" t="s">
        <v>15</v>
      </c>
      <c r="I187" s="233"/>
      <c r="J187" s="237"/>
      <c r="K187" s="92"/>
      <c r="L187" s="19">
        <f t="shared" ref="L187:W187" si="390">$A187*L186</f>
        <v>0</v>
      </c>
      <c r="M187" s="19">
        <f t="shared" si="390"/>
        <v>0</v>
      </c>
      <c r="N187" s="19">
        <f t="shared" si="390"/>
        <v>0</v>
      </c>
      <c r="O187" s="19">
        <f t="shared" ref="O187:P187" si="391">$A187*O186</f>
        <v>0</v>
      </c>
      <c r="P187" s="19">
        <f t="shared" si="391"/>
        <v>0</v>
      </c>
      <c r="Q187" s="19">
        <f t="shared" ref="Q187" si="392">$A187*Q186</f>
        <v>0</v>
      </c>
      <c r="R187" s="19">
        <f t="shared" si="390"/>
        <v>0</v>
      </c>
      <c r="S187" s="19">
        <f t="shared" si="390"/>
        <v>0</v>
      </c>
      <c r="T187" s="19">
        <f t="shared" si="390"/>
        <v>0</v>
      </c>
      <c r="U187" s="19">
        <f t="shared" si="390"/>
        <v>0</v>
      </c>
      <c r="V187" s="19">
        <f t="shared" si="390"/>
        <v>0</v>
      </c>
      <c r="W187" s="19">
        <f t="shared" si="390"/>
        <v>0</v>
      </c>
      <c r="X187" s="92"/>
      <c r="Y187" s="20">
        <f t="shared" si="377"/>
        <v>0</v>
      </c>
      <c r="Z187" s="92"/>
      <c r="AA187" s="257"/>
      <c r="AB187" s="258"/>
      <c r="AC187" s="121"/>
      <c r="AD187" s="3"/>
      <c r="AE187" s="3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7"/>
      <c r="B188" s="17"/>
      <c r="C188" s="17"/>
      <c r="D188" s="17"/>
      <c r="E188" s="14"/>
      <c r="F188" s="37"/>
      <c r="G188" s="37"/>
      <c r="H188" s="14"/>
      <c r="I188" s="126"/>
      <c r="J188" s="126"/>
      <c r="K188" s="92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92"/>
      <c r="Y188" s="20"/>
      <c r="Z188" s="92"/>
      <c r="AA188" s="157"/>
      <c r="AB188" s="158"/>
      <c r="AC188" s="121"/>
      <c r="AD188" s="3"/>
      <c r="AE188" s="3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7"/>
      <c r="B189" s="17"/>
      <c r="C189" s="17"/>
      <c r="D189" s="17"/>
      <c r="E189" s="25" t="s">
        <v>60</v>
      </c>
      <c r="F189" s="31"/>
      <c r="G189" s="28"/>
      <c r="H189" s="127" t="s">
        <v>418</v>
      </c>
      <c r="I189" s="126"/>
      <c r="J189" s="126"/>
      <c r="K189" s="92"/>
      <c r="L189" s="26">
        <f t="shared" ref="L189:W189" si="393">SUMIF($H$177:$H$190,"$$$",L$177:L$190)</f>
        <v>0</v>
      </c>
      <c r="M189" s="26">
        <f t="shared" si="393"/>
        <v>0</v>
      </c>
      <c r="N189" s="26">
        <f t="shared" si="393"/>
        <v>0</v>
      </c>
      <c r="O189" s="26">
        <f t="shared" si="393"/>
        <v>0</v>
      </c>
      <c r="P189" s="26">
        <f t="shared" si="393"/>
        <v>0</v>
      </c>
      <c r="Q189" s="26">
        <f t="shared" si="393"/>
        <v>0</v>
      </c>
      <c r="R189" s="26">
        <f t="shared" si="393"/>
        <v>0</v>
      </c>
      <c r="S189" s="26">
        <f t="shared" si="393"/>
        <v>0</v>
      </c>
      <c r="T189" s="26">
        <f t="shared" si="393"/>
        <v>0</v>
      </c>
      <c r="U189" s="26">
        <f t="shared" si="393"/>
        <v>0</v>
      </c>
      <c r="V189" s="26">
        <f t="shared" si="393"/>
        <v>0</v>
      </c>
      <c r="W189" s="26">
        <f t="shared" si="393"/>
        <v>0</v>
      </c>
      <c r="X189" s="92"/>
      <c r="Y189" s="27">
        <f>SUM(L189:W189)</f>
        <v>0</v>
      </c>
      <c r="Z189" s="92"/>
      <c r="AA189" s="34">
        <f>IFERROR($Y189/$Y$191, 0)</f>
        <v>0</v>
      </c>
      <c r="AB189" s="29">
        <f>IFERROR($Y189/$Y$398, 0)</f>
        <v>0</v>
      </c>
      <c r="AC189" s="123"/>
      <c r="AD189" s="7"/>
      <c r="AE189" s="7"/>
      <c r="AF189" s="8"/>
      <c r="AG189" s="8"/>
      <c r="AH189" s="8"/>
      <c r="AI189" s="8"/>
      <c r="AJ189" s="8"/>
      <c r="AK189" s="8"/>
      <c r="AL189" s="8"/>
    </row>
    <row r="190" spans="1:38" ht="15.75" customHeight="1">
      <c r="A190" s="17"/>
      <c r="B190" s="17"/>
      <c r="C190" s="17"/>
      <c r="D190" s="17"/>
      <c r="E190" s="14"/>
      <c r="F190" s="37"/>
      <c r="G190" s="37"/>
      <c r="H190" s="14"/>
      <c r="I190" s="126"/>
      <c r="J190" s="126"/>
      <c r="K190" s="92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92"/>
      <c r="Y190" s="20"/>
      <c r="Z190" s="92"/>
      <c r="AA190" s="157"/>
      <c r="AB190" s="158"/>
      <c r="AC190" s="121"/>
      <c r="AD190" s="3"/>
      <c r="AE190" s="3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61"/>
      <c r="B191" s="161"/>
      <c r="C191" s="161"/>
      <c r="D191" s="161"/>
      <c r="E191" s="25" t="s">
        <v>61</v>
      </c>
      <c r="F191" s="25"/>
      <c r="G191" s="25"/>
      <c r="H191" s="14" t="s">
        <v>11</v>
      </c>
      <c r="I191" s="126"/>
      <c r="J191" s="126"/>
      <c r="K191" s="162"/>
      <c r="L191" s="26">
        <f t="shared" ref="L191:W191" si="394">SUMIF($H$103:$H$193,"$$$",L$103:L$193)</f>
        <v>0</v>
      </c>
      <c r="M191" s="26">
        <f t="shared" si="394"/>
        <v>0</v>
      </c>
      <c r="N191" s="26">
        <f t="shared" si="394"/>
        <v>0</v>
      </c>
      <c r="O191" s="26">
        <f t="shared" si="394"/>
        <v>0</v>
      </c>
      <c r="P191" s="26">
        <f t="shared" si="394"/>
        <v>0</v>
      </c>
      <c r="Q191" s="26">
        <f t="shared" si="394"/>
        <v>0</v>
      </c>
      <c r="R191" s="26">
        <f t="shared" si="394"/>
        <v>0</v>
      </c>
      <c r="S191" s="26">
        <f t="shared" si="394"/>
        <v>0</v>
      </c>
      <c r="T191" s="26">
        <f t="shared" si="394"/>
        <v>0</v>
      </c>
      <c r="U191" s="26">
        <f t="shared" si="394"/>
        <v>0</v>
      </c>
      <c r="V191" s="26">
        <f t="shared" si="394"/>
        <v>0</v>
      </c>
      <c r="W191" s="26">
        <f t="shared" si="394"/>
        <v>0</v>
      </c>
      <c r="X191" s="162"/>
      <c r="Y191" s="26">
        <f>SUM(L191:W191)</f>
        <v>0</v>
      </c>
      <c r="Z191" s="162"/>
      <c r="AA191" s="34">
        <f>IFERROR($Y191/$Y$191, 0)</f>
        <v>0</v>
      </c>
      <c r="AB191" s="29">
        <f>IFERROR($Y191/$Y$398, 0)</f>
        <v>0</v>
      </c>
      <c r="AC191" s="121"/>
      <c r="AD191" s="3"/>
      <c r="AE191" s="3"/>
      <c r="AF191" s="1"/>
      <c r="AG191" s="1"/>
      <c r="AH191" s="1"/>
      <c r="AI191" s="1"/>
      <c r="AJ191" s="1"/>
      <c r="AK191" s="1"/>
      <c r="AL191" s="1"/>
    </row>
    <row r="192" spans="1:38" ht="15.75" customHeight="1" thickBot="1">
      <c r="A192" s="163"/>
      <c r="B192" s="163"/>
      <c r="C192" s="163"/>
      <c r="D192" s="163"/>
      <c r="E192" s="136" t="s">
        <v>62</v>
      </c>
      <c r="F192" s="137"/>
      <c r="G192" s="138"/>
      <c r="H192" s="139" t="s">
        <v>417</v>
      </c>
      <c r="I192" s="140"/>
      <c r="J192" s="140"/>
      <c r="K192" s="141"/>
      <c r="L192" s="142">
        <f t="shared" ref="L192:W192" si="395">L191*(1-(0.15-$H$3))</f>
        <v>0</v>
      </c>
      <c r="M192" s="142">
        <f t="shared" si="395"/>
        <v>0</v>
      </c>
      <c r="N192" s="142">
        <f t="shared" si="395"/>
        <v>0</v>
      </c>
      <c r="O192" s="142">
        <f t="shared" ref="O192:P192" si="396">O191*(1-(0.15-$H$3))</f>
        <v>0</v>
      </c>
      <c r="P192" s="142">
        <f t="shared" si="396"/>
        <v>0</v>
      </c>
      <c r="Q192" s="142">
        <f t="shared" ref="Q192" si="397">Q191*(1-(0.15-$H$3))</f>
        <v>0</v>
      </c>
      <c r="R192" s="142">
        <f t="shared" si="395"/>
        <v>0</v>
      </c>
      <c r="S192" s="142">
        <f t="shared" si="395"/>
        <v>0</v>
      </c>
      <c r="T192" s="142">
        <f t="shared" si="395"/>
        <v>0</v>
      </c>
      <c r="U192" s="142">
        <f t="shared" si="395"/>
        <v>0</v>
      </c>
      <c r="V192" s="142">
        <f t="shared" si="395"/>
        <v>0</v>
      </c>
      <c r="W192" s="142">
        <f t="shared" si="395"/>
        <v>0</v>
      </c>
      <c r="X192" s="141"/>
      <c r="Y192" s="142">
        <f>SUM(L192:W192)</f>
        <v>0</v>
      </c>
      <c r="Z192" s="141"/>
      <c r="AA192" s="164"/>
      <c r="AB192" s="165"/>
      <c r="AC192" s="164"/>
      <c r="AD192" s="146"/>
      <c r="AE192" s="146"/>
      <c r="AF192" s="147"/>
      <c r="AG192" s="147"/>
      <c r="AH192" s="147"/>
      <c r="AI192" s="147"/>
      <c r="AJ192" s="147"/>
      <c r="AK192" s="147"/>
      <c r="AL192" s="147"/>
    </row>
    <row r="193" spans="1:38" ht="15.75" customHeight="1" thickTop="1">
      <c r="A193" s="251" t="s">
        <v>53</v>
      </c>
      <c r="B193" s="240"/>
      <c r="C193" s="240"/>
      <c r="D193" s="240"/>
      <c r="E193" s="240" t="s">
        <v>63</v>
      </c>
      <c r="F193" s="240" t="s">
        <v>55</v>
      </c>
      <c r="G193" s="240" t="s">
        <v>64</v>
      </c>
      <c r="H193" s="240"/>
      <c r="I193" s="246"/>
      <c r="J193" s="246" t="s">
        <v>435</v>
      </c>
      <c r="K193" s="240"/>
      <c r="L193" s="6" t="str">
        <f t="shared" ref="L193:W193" si="398">CONCATENATE("Week ",L$2)</f>
        <v>Week 12</v>
      </c>
      <c r="M193" s="6" t="str">
        <f t="shared" si="398"/>
        <v>Week 11</v>
      </c>
      <c r="N193" s="6" t="str">
        <f t="shared" si="398"/>
        <v>Week 10</v>
      </c>
      <c r="O193" s="6" t="str">
        <f t="shared" si="398"/>
        <v>Week 9</v>
      </c>
      <c r="P193" s="6" t="str">
        <f t="shared" si="398"/>
        <v>Week 8</v>
      </c>
      <c r="Q193" s="6" t="str">
        <f t="shared" si="398"/>
        <v>Week 7</v>
      </c>
      <c r="R193" s="6" t="str">
        <f t="shared" si="398"/>
        <v>Week 6</v>
      </c>
      <c r="S193" s="6" t="str">
        <f t="shared" si="398"/>
        <v>Week 5</v>
      </c>
      <c r="T193" s="6" t="str">
        <f t="shared" si="398"/>
        <v>Week 4</v>
      </c>
      <c r="U193" s="6" t="str">
        <f t="shared" si="398"/>
        <v>Week 3</v>
      </c>
      <c r="V193" s="6" t="str">
        <f t="shared" si="398"/>
        <v>Week 2</v>
      </c>
      <c r="W193" s="6" t="str">
        <f t="shared" si="398"/>
        <v>Week 1</v>
      </c>
      <c r="X193" s="240"/>
      <c r="Y193" s="240" t="s">
        <v>11</v>
      </c>
      <c r="Z193" s="240"/>
      <c r="AA193" s="240" t="s">
        <v>65</v>
      </c>
      <c r="AB193" s="242" t="s">
        <v>13</v>
      </c>
      <c r="AC193" s="123"/>
      <c r="AD193" s="7"/>
      <c r="AE193" s="7"/>
      <c r="AF193" s="8"/>
      <c r="AG193" s="8"/>
      <c r="AH193" s="8"/>
      <c r="AI193" s="8"/>
      <c r="AJ193" s="8"/>
      <c r="AK193" s="8"/>
      <c r="AL193" s="8"/>
    </row>
    <row r="194" spans="1:38" ht="15.75" customHeight="1" thickBot="1">
      <c r="A194" s="252"/>
      <c r="B194" s="241"/>
      <c r="C194" s="241"/>
      <c r="D194" s="241"/>
      <c r="E194" s="241"/>
      <c r="F194" s="241"/>
      <c r="G194" s="241"/>
      <c r="H194" s="241"/>
      <c r="I194" s="247"/>
      <c r="J194" s="247"/>
      <c r="K194" s="241"/>
      <c r="L194" s="10" t="str">
        <f t="shared" ref="L194:W194" si="399">TEXT(L$3, "mmm d") &amp; " - " &amp; TEXT(L$4, "mmm d")</f>
        <v>Aug 11 - Aug 17</v>
      </c>
      <c r="M194" s="10" t="str">
        <f t="shared" si="399"/>
        <v>Aug 18 - Aug 24</v>
      </c>
      <c r="N194" s="10" t="str">
        <f t="shared" si="399"/>
        <v>Aug 25 - Aug 31</v>
      </c>
      <c r="O194" s="10" t="str">
        <f t="shared" si="399"/>
        <v>Sep 1 - Sep 7</v>
      </c>
      <c r="P194" s="10" t="str">
        <f t="shared" si="399"/>
        <v>Sep 8 - Sep 14</v>
      </c>
      <c r="Q194" s="10" t="str">
        <f t="shared" si="399"/>
        <v>Sep 15 - Sep 21</v>
      </c>
      <c r="R194" s="10" t="str">
        <f t="shared" si="399"/>
        <v>Sep 22 - Sep 28</v>
      </c>
      <c r="S194" s="10" t="str">
        <f t="shared" si="399"/>
        <v>Sep 29 - Oct 5</v>
      </c>
      <c r="T194" s="10" t="str">
        <f t="shared" si="399"/>
        <v>Oct 6 - Oct 12</v>
      </c>
      <c r="U194" s="10" t="str">
        <f t="shared" si="399"/>
        <v>Oct 13 - Oct 19</v>
      </c>
      <c r="V194" s="10" t="str">
        <f t="shared" si="399"/>
        <v>Oct 20 - Oct 26</v>
      </c>
      <c r="W194" s="10" t="str">
        <f t="shared" si="399"/>
        <v>Oct 27 - Nov 3</v>
      </c>
      <c r="X194" s="241"/>
      <c r="Y194" s="241"/>
      <c r="Z194" s="241"/>
      <c r="AA194" s="241"/>
      <c r="AB194" s="243"/>
      <c r="AC194" s="11"/>
      <c r="AD194" s="7"/>
      <c r="AE194" s="7"/>
      <c r="AF194" s="8"/>
      <c r="AG194" s="8"/>
      <c r="AH194" s="8"/>
      <c r="AI194" s="8"/>
      <c r="AJ194" s="8"/>
      <c r="AK194" s="8"/>
      <c r="AL194" s="8"/>
    </row>
    <row r="195" spans="1:38" ht="15.75" customHeight="1" thickTop="1">
      <c r="A195" s="17"/>
      <c r="B195" s="17"/>
      <c r="C195" s="17"/>
      <c r="D195" s="17"/>
      <c r="E195" s="13"/>
      <c r="F195" s="14"/>
      <c r="G195" s="14"/>
      <c r="H195" s="14" t="s">
        <v>58</v>
      </c>
      <c r="I195" s="233"/>
      <c r="J195" s="237" t="s">
        <v>437</v>
      </c>
      <c r="K195" s="92"/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92"/>
      <c r="Y195" s="15">
        <f t="shared" ref="Y195:Y202" si="400">SUM(L195:W195)</f>
        <v>0</v>
      </c>
      <c r="Z195" s="92"/>
      <c r="AA195" s="256">
        <f>IFERROR($Y196/$Y$204, 0)</f>
        <v>0</v>
      </c>
      <c r="AB195" s="239">
        <f>IFERROR($Y196/$Y$398, 0)</f>
        <v>0</v>
      </c>
      <c r="AC195" s="38"/>
      <c r="AD195" s="38"/>
      <c r="AE195" s="38"/>
      <c r="AF195" s="39"/>
      <c r="AG195" s="39"/>
      <c r="AH195" s="39"/>
      <c r="AI195" s="39"/>
      <c r="AJ195" s="39"/>
      <c r="AK195" s="39"/>
      <c r="AL195" s="39"/>
    </row>
    <row r="196" spans="1:38" ht="15.75" customHeight="1">
      <c r="A196" s="17">
        <v>100</v>
      </c>
      <c r="B196" s="17"/>
      <c r="C196" s="17"/>
      <c r="D196" s="17"/>
      <c r="E196" s="14" t="s">
        <v>747</v>
      </c>
      <c r="F196" s="40" t="s">
        <v>66</v>
      </c>
      <c r="G196" s="37"/>
      <c r="H196" s="14" t="s">
        <v>15</v>
      </c>
      <c r="I196" s="233"/>
      <c r="J196" s="237"/>
      <c r="K196" s="92"/>
      <c r="L196" s="19">
        <f t="shared" ref="L196:W196" si="401">$A196*L195</f>
        <v>0</v>
      </c>
      <c r="M196" s="19">
        <f t="shared" si="401"/>
        <v>0</v>
      </c>
      <c r="N196" s="19">
        <f t="shared" si="401"/>
        <v>0</v>
      </c>
      <c r="O196" s="19">
        <f t="shared" ref="O196:P196" si="402">$A196*O195</f>
        <v>0</v>
      </c>
      <c r="P196" s="19">
        <f t="shared" si="402"/>
        <v>0</v>
      </c>
      <c r="Q196" s="19">
        <f t="shared" ref="Q196" si="403">$A196*Q195</f>
        <v>0</v>
      </c>
      <c r="R196" s="19">
        <f t="shared" si="401"/>
        <v>0</v>
      </c>
      <c r="S196" s="19">
        <f t="shared" si="401"/>
        <v>0</v>
      </c>
      <c r="T196" s="19">
        <f t="shared" si="401"/>
        <v>0</v>
      </c>
      <c r="U196" s="19">
        <f t="shared" si="401"/>
        <v>0</v>
      </c>
      <c r="V196" s="19">
        <f t="shared" si="401"/>
        <v>0</v>
      </c>
      <c r="W196" s="19">
        <f t="shared" si="401"/>
        <v>0</v>
      </c>
      <c r="X196" s="92"/>
      <c r="Y196" s="20">
        <f t="shared" si="400"/>
        <v>0</v>
      </c>
      <c r="Z196" s="92"/>
      <c r="AA196" s="257"/>
      <c r="AB196" s="258"/>
      <c r="AC196" s="16"/>
      <c r="AD196" s="3"/>
      <c r="AE196" s="38"/>
      <c r="AF196" s="41"/>
      <c r="AG196" s="41"/>
      <c r="AH196" s="41"/>
      <c r="AI196" s="41"/>
      <c r="AJ196" s="41"/>
      <c r="AK196" s="41"/>
      <c r="AL196" s="41"/>
    </row>
    <row r="197" spans="1:38" ht="15.75" customHeight="1">
      <c r="A197" s="17"/>
      <c r="B197" s="17"/>
      <c r="C197" s="17"/>
      <c r="D197" s="17"/>
      <c r="E197" s="13"/>
      <c r="F197" s="42"/>
      <c r="G197" s="42"/>
      <c r="H197" s="14" t="s">
        <v>58</v>
      </c>
      <c r="I197" s="233"/>
      <c r="J197" s="237" t="s">
        <v>437</v>
      </c>
      <c r="K197" s="92"/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92"/>
      <c r="Y197" s="15">
        <f t="shared" si="400"/>
        <v>0</v>
      </c>
      <c r="Z197" s="92"/>
      <c r="AA197" s="256">
        <f>IFERROR($Y198/$Y$204, 0)</f>
        <v>0</v>
      </c>
      <c r="AB197" s="239">
        <f>IFERROR($Y198/$Y$398, 0)</f>
        <v>0</v>
      </c>
      <c r="AC197" s="38"/>
      <c r="AD197" s="38"/>
      <c r="AE197" s="38"/>
      <c r="AF197" s="39"/>
      <c r="AG197" s="39"/>
      <c r="AH197" s="39"/>
      <c r="AI197" s="39"/>
      <c r="AJ197" s="39"/>
      <c r="AK197" s="39"/>
      <c r="AL197" s="39"/>
    </row>
    <row r="198" spans="1:38" ht="15.75" customHeight="1">
      <c r="A198" s="17">
        <v>100</v>
      </c>
      <c r="B198" s="17"/>
      <c r="C198" s="17"/>
      <c r="D198" s="17"/>
      <c r="E198" s="14" t="s">
        <v>747</v>
      </c>
      <c r="F198" s="40" t="s">
        <v>66</v>
      </c>
      <c r="G198" s="37"/>
      <c r="H198" s="14" t="s">
        <v>15</v>
      </c>
      <c r="I198" s="233"/>
      <c r="J198" s="237"/>
      <c r="K198" s="92"/>
      <c r="L198" s="19">
        <f t="shared" ref="L198:W198" si="404">$A198*L197</f>
        <v>0</v>
      </c>
      <c r="M198" s="19">
        <f t="shared" si="404"/>
        <v>0</v>
      </c>
      <c r="N198" s="19">
        <f t="shared" si="404"/>
        <v>0</v>
      </c>
      <c r="O198" s="19">
        <f t="shared" ref="O198:P198" si="405">$A198*O197</f>
        <v>0</v>
      </c>
      <c r="P198" s="19">
        <f t="shared" si="405"/>
        <v>0</v>
      </c>
      <c r="Q198" s="19">
        <f t="shared" ref="Q198" si="406">$A198*Q197</f>
        <v>0</v>
      </c>
      <c r="R198" s="19">
        <f t="shared" si="404"/>
        <v>0</v>
      </c>
      <c r="S198" s="19">
        <f t="shared" si="404"/>
        <v>0</v>
      </c>
      <c r="T198" s="19">
        <f t="shared" si="404"/>
        <v>0</v>
      </c>
      <c r="U198" s="19">
        <f t="shared" si="404"/>
        <v>0</v>
      </c>
      <c r="V198" s="19">
        <f t="shared" si="404"/>
        <v>0</v>
      </c>
      <c r="W198" s="19">
        <f t="shared" si="404"/>
        <v>0</v>
      </c>
      <c r="X198" s="92"/>
      <c r="Y198" s="20">
        <f t="shared" si="400"/>
        <v>0</v>
      </c>
      <c r="Z198" s="92"/>
      <c r="AA198" s="257"/>
      <c r="AB198" s="258"/>
      <c r="AC198" s="16"/>
      <c r="AD198" s="3"/>
      <c r="AE198" s="38"/>
      <c r="AF198" s="41"/>
      <c r="AG198" s="41"/>
      <c r="AH198" s="41"/>
      <c r="AI198" s="41"/>
      <c r="AJ198" s="41"/>
      <c r="AK198" s="41"/>
      <c r="AL198" s="41"/>
    </row>
    <row r="199" spans="1:38" ht="15.75" customHeight="1">
      <c r="A199" s="17"/>
      <c r="B199" s="17"/>
      <c r="C199" s="17"/>
      <c r="D199" s="17"/>
      <c r="E199" s="13"/>
      <c r="F199" s="42"/>
      <c r="G199" s="42"/>
      <c r="H199" s="14" t="s">
        <v>58</v>
      </c>
      <c r="I199" s="233"/>
      <c r="J199" s="237" t="s">
        <v>437</v>
      </c>
      <c r="K199" s="92"/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92"/>
      <c r="Y199" s="15">
        <f t="shared" si="400"/>
        <v>0</v>
      </c>
      <c r="Z199" s="92"/>
      <c r="AA199" s="256">
        <f>IFERROR($Y200/$Y$204, 0)</f>
        <v>0</v>
      </c>
      <c r="AB199" s="239">
        <f>IFERROR($Y200/$Y$398, 0)</f>
        <v>0</v>
      </c>
      <c r="AC199" s="16"/>
      <c r="AD199" s="3"/>
      <c r="AE199" s="3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7">
        <v>100</v>
      </c>
      <c r="B200" s="17"/>
      <c r="C200" s="17"/>
      <c r="D200" s="17"/>
      <c r="E200" s="14" t="s">
        <v>747</v>
      </c>
      <c r="F200" s="40" t="s">
        <v>66</v>
      </c>
      <c r="G200" s="37"/>
      <c r="H200" s="14" t="s">
        <v>15</v>
      </c>
      <c r="I200" s="233"/>
      <c r="J200" s="237"/>
      <c r="K200" s="92"/>
      <c r="L200" s="19">
        <f t="shared" ref="L200:W200" si="407">$A200*L199</f>
        <v>0</v>
      </c>
      <c r="M200" s="19">
        <f t="shared" si="407"/>
        <v>0</v>
      </c>
      <c r="N200" s="19">
        <f t="shared" si="407"/>
        <v>0</v>
      </c>
      <c r="O200" s="19">
        <f t="shared" ref="O200:P200" si="408">$A200*O199</f>
        <v>0</v>
      </c>
      <c r="P200" s="19">
        <f t="shared" si="408"/>
        <v>0</v>
      </c>
      <c r="Q200" s="19">
        <f t="shared" ref="Q200" si="409">$A200*Q199</f>
        <v>0</v>
      </c>
      <c r="R200" s="19">
        <f t="shared" si="407"/>
        <v>0</v>
      </c>
      <c r="S200" s="19">
        <f t="shared" si="407"/>
        <v>0</v>
      </c>
      <c r="T200" s="19">
        <f t="shared" si="407"/>
        <v>0</v>
      </c>
      <c r="U200" s="19">
        <f t="shared" si="407"/>
        <v>0</v>
      </c>
      <c r="V200" s="19">
        <f t="shared" si="407"/>
        <v>0</v>
      </c>
      <c r="W200" s="19">
        <f t="shared" si="407"/>
        <v>0</v>
      </c>
      <c r="X200" s="92"/>
      <c r="Y200" s="20">
        <f t="shared" si="400"/>
        <v>0</v>
      </c>
      <c r="Z200" s="92"/>
      <c r="AA200" s="257"/>
      <c r="AB200" s="258"/>
      <c r="AC200" s="21"/>
      <c r="AD200" s="3"/>
      <c r="AE200" s="3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7"/>
      <c r="B201" s="17"/>
      <c r="C201" s="17"/>
      <c r="D201" s="17"/>
      <c r="E201" s="13"/>
      <c r="F201" s="42"/>
      <c r="G201" s="42"/>
      <c r="H201" s="14" t="s">
        <v>58</v>
      </c>
      <c r="I201" s="233"/>
      <c r="J201" s="237" t="s">
        <v>437</v>
      </c>
      <c r="K201" s="92"/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92"/>
      <c r="Y201" s="15">
        <f t="shared" si="400"/>
        <v>0</v>
      </c>
      <c r="Z201" s="92"/>
      <c r="AA201" s="256">
        <f>IFERROR($Y202/$Y$204, 0)</f>
        <v>0</v>
      </c>
      <c r="AB201" s="239">
        <f>IFERROR($Y202/$Y$398, 0)</f>
        <v>0</v>
      </c>
      <c r="AC201" s="16"/>
      <c r="AD201" s="3"/>
      <c r="AE201" s="3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7">
        <v>100</v>
      </c>
      <c r="B202" s="17"/>
      <c r="C202" s="17"/>
      <c r="D202" s="17"/>
      <c r="E202" s="14" t="s">
        <v>747</v>
      </c>
      <c r="F202" s="40" t="s">
        <v>66</v>
      </c>
      <c r="G202" s="37"/>
      <c r="H202" s="14" t="s">
        <v>15</v>
      </c>
      <c r="I202" s="233"/>
      <c r="J202" s="237"/>
      <c r="K202" s="92"/>
      <c r="L202" s="19">
        <f t="shared" ref="L202:W202" si="410">$A202*L201</f>
        <v>0</v>
      </c>
      <c r="M202" s="19">
        <f t="shared" si="410"/>
        <v>0</v>
      </c>
      <c r="N202" s="19">
        <f t="shared" si="410"/>
        <v>0</v>
      </c>
      <c r="O202" s="19">
        <f t="shared" ref="O202:P202" si="411">$A202*O201</f>
        <v>0</v>
      </c>
      <c r="P202" s="19">
        <f t="shared" si="411"/>
        <v>0</v>
      </c>
      <c r="Q202" s="19">
        <f t="shared" ref="Q202" si="412">$A202*Q201</f>
        <v>0</v>
      </c>
      <c r="R202" s="19">
        <f t="shared" si="410"/>
        <v>0</v>
      </c>
      <c r="S202" s="19">
        <f t="shared" si="410"/>
        <v>0</v>
      </c>
      <c r="T202" s="19">
        <f t="shared" si="410"/>
        <v>0</v>
      </c>
      <c r="U202" s="19">
        <f t="shared" si="410"/>
        <v>0</v>
      </c>
      <c r="V202" s="19">
        <f t="shared" si="410"/>
        <v>0</v>
      </c>
      <c r="W202" s="19">
        <f t="shared" si="410"/>
        <v>0</v>
      </c>
      <c r="X202" s="92"/>
      <c r="Y202" s="20">
        <f t="shared" si="400"/>
        <v>0</v>
      </c>
      <c r="Z202" s="92"/>
      <c r="AA202" s="257"/>
      <c r="AB202" s="258"/>
      <c r="AC202" s="21"/>
      <c r="AD202" s="3"/>
      <c r="AE202" s="3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7"/>
      <c r="B203" s="17"/>
      <c r="C203" s="17"/>
      <c r="D203" s="17"/>
      <c r="E203" s="14"/>
      <c r="F203" s="18"/>
      <c r="G203" s="37"/>
      <c r="H203" s="14"/>
      <c r="I203" s="126"/>
      <c r="J203" s="126"/>
      <c r="K203" s="92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92"/>
      <c r="Y203" s="20"/>
      <c r="Z203" s="92"/>
      <c r="AA203" s="23"/>
      <c r="AB203" s="24"/>
      <c r="AC203" s="16"/>
      <c r="AD203" s="166"/>
      <c r="AE203" s="3"/>
      <c r="AF203" s="1"/>
      <c r="AG203" s="1"/>
      <c r="AH203" s="1"/>
      <c r="AI203" s="1"/>
      <c r="AJ203" s="1"/>
      <c r="AK203" s="1"/>
      <c r="AL203" s="1"/>
    </row>
    <row r="204" spans="1:38" ht="16.2" customHeight="1">
      <c r="A204" s="17"/>
      <c r="B204" s="17"/>
      <c r="C204" s="17"/>
      <c r="D204" s="17"/>
      <c r="E204" s="25" t="s">
        <v>67</v>
      </c>
      <c r="F204" s="18"/>
      <c r="G204" s="22"/>
      <c r="H204" s="14" t="s">
        <v>11</v>
      </c>
      <c r="I204" s="126"/>
      <c r="J204" s="126"/>
      <c r="K204" s="92"/>
      <c r="L204" s="26">
        <f t="shared" ref="L204:W204" si="413">SUMIF($H$194:$H$206,"$$$",L$194:L$206)</f>
        <v>0</v>
      </c>
      <c r="M204" s="26">
        <f t="shared" si="413"/>
        <v>0</v>
      </c>
      <c r="N204" s="26">
        <f t="shared" si="413"/>
        <v>0</v>
      </c>
      <c r="O204" s="26">
        <f t="shared" si="413"/>
        <v>0</v>
      </c>
      <c r="P204" s="26">
        <f t="shared" si="413"/>
        <v>0</v>
      </c>
      <c r="Q204" s="26">
        <f t="shared" si="413"/>
        <v>0</v>
      </c>
      <c r="R204" s="26">
        <f t="shared" si="413"/>
        <v>0</v>
      </c>
      <c r="S204" s="26">
        <f t="shared" si="413"/>
        <v>0</v>
      </c>
      <c r="T204" s="26">
        <f t="shared" si="413"/>
        <v>0</v>
      </c>
      <c r="U204" s="26">
        <f t="shared" si="413"/>
        <v>0</v>
      </c>
      <c r="V204" s="26">
        <f t="shared" si="413"/>
        <v>0</v>
      </c>
      <c r="W204" s="26">
        <f t="shared" si="413"/>
        <v>0</v>
      </c>
      <c r="X204" s="92"/>
      <c r="Y204" s="26">
        <f>SUM(L204:W204)</f>
        <v>0</v>
      </c>
      <c r="Z204" s="92"/>
      <c r="AA204" s="34">
        <f>IFERROR($Y204/$Y$204, 0)</f>
        <v>0</v>
      </c>
      <c r="AB204" s="29">
        <f>IFERROR($Y204/$Y$398, 0)</f>
        <v>0</v>
      </c>
      <c r="AC204" s="16"/>
      <c r="AD204" s="3"/>
      <c r="AE204" s="3"/>
      <c r="AF204" s="1"/>
      <c r="AG204" s="1"/>
      <c r="AH204" s="1"/>
      <c r="AI204" s="1"/>
      <c r="AJ204" s="1"/>
      <c r="AK204" s="1"/>
      <c r="AL204" s="1"/>
    </row>
    <row r="205" spans="1:38" ht="14.4" thickBot="1">
      <c r="A205" s="135"/>
      <c r="B205" s="135"/>
      <c r="C205" s="135"/>
      <c r="D205" s="135"/>
      <c r="E205" s="105" t="s">
        <v>68</v>
      </c>
      <c r="F205" s="167"/>
      <c r="G205" s="168"/>
      <c r="H205" s="139" t="s">
        <v>417</v>
      </c>
      <c r="I205" s="140"/>
      <c r="J205" s="140"/>
      <c r="K205" s="169"/>
      <c r="L205" s="142">
        <f t="shared" ref="L205:W205" si="414">L204*(1-(0.15-$H$3))</f>
        <v>0</v>
      </c>
      <c r="M205" s="142">
        <f t="shared" si="414"/>
        <v>0</v>
      </c>
      <c r="N205" s="142">
        <f t="shared" si="414"/>
        <v>0</v>
      </c>
      <c r="O205" s="142">
        <f t="shared" ref="O205:P205" si="415">O204*(1-(0.15-$H$3))</f>
        <v>0</v>
      </c>
      <c r="P205" s="142">
        <f t="shared" si="415"/>
        <v>0</v>
      </c>
      <c r="Q205" s="142">
        <f t="shared" ref="Q205" si="416">Q204*(1-(0.15-$H$3))</f>
        <v>0</v>
      </c>
      <c r="R205" s="142">
        <f t="shared" si="414"/>
        <v>0</v>
      </c>
      <c r="S205" s="142">
        <f t="shared" si="414"/>
        <v>0</v>
      </c>
      <c r="T205" s="142">
        <f t="shared" si="414"/>
        <v>0</v>
      </c>
      <c r="U205" s="142">
        <f t="shared" si="414"/>
        <v>0</v>
      </c>
      <c r="V205" s="142">
        <f t="shared" si="414"/>
        <v>0</v>
      </c>
      <c r="W205" s="142">
        <f t="shared" si="414"/>
        <v>0</v>
      </c>
      <c r="X205" s="169"/>
      <c r="Y205" s="170">
        <f>SUM(L205:W205)</f>
        <v>0</v>
      </c>
      <c r="Z205" s="169"/>
      <c r="AA205" s="143"/>
      <c r="AB205" s="144"/>
      <c r="AC205" s="145"/>
      <c r="AD205" s="146"/>
      <c r="AE205" s="146"/>
      <c r="AF205" s="147"/>
      <c r="AG205" s="147"/>
      <c r="AH205" s="147"/>
      <c r="AI205" s="147"/>
      <c r="AJ205" s="147"/>
      <c r="AK205" s="147"/>
      <c r="AL205" s="147"/>
    </row>
    <row r="206" spans="1:38" ht="15.75" customHeight="1" thickTop="1">
      <c r="A206" s="251" t="s">
        <v>6</v>
      </c>
      <c r="B206" s="240" t="s">
        <v>7</v>
      </c>
      <c r="C206" s="240" t="s">
        <v>8</v>
      </c>
      <c r="D206" s="240" t="s">
        <v>9</v>
      </c>
      <c r="E206" s="240" t="s">
        <v>69</v>
      </c>
      <c r="F206" s="240" t="s">
        <v>70</v>
      </c>
      <c r="G206" s="261"/>
      <c r="H206" s="240"/>
      <c r="I206" s="246"/>
      <c r="J206" s="246" t="s">
        <v>435</v>
      </c>
      <c r="K206" s="240"/>
      <c r="L206" s="6" t="str">
        <f t="shared" ref="L206:W206" si="417">CONCATENATE("Week ",L$2)</f>
        <v>Week 12</v>
      </c>
      <c r="M206" s="6" t="str">
        <f t="shared" si="417"/>
        <v>Week 11</v>
      </c>
      <c r="N206" s="6" t="str">
        <f t="shared" si="417"/>
        <v>Week 10</v>
      </c>
      <c r="O206" s="6" t="str">
        <f t="shared" si="417"/>
        <v>Week 9</v>
      </c>
      <c r="P206" s="6" t="str">
        <f t="shared" si="417"/>
        <v>Week 8</v>
      </c>
      <c r="Q206" s="6" t="str">
        <f t="shared" si="417"/>
        <v>Week 7</v>
      </c>
      <c r="R206" s="6" t="str">
        <f t="shared" si="417"/>
        <v>Week 6</v>
      </c>
      <c r="S206" s="6" t="str">
        <f t="shared" si="417"/>
        <v>Week 5</v>
      </c>
      <c r="T206" s="6" t="str">
        <f t="shared" si="417"/>
        <v>Week 4</v>
      </c>
      <c r="U206" s="6" t="str">
        <f t="shared" si="417"/>
        <v>Week 3</v>
      </c>
      <c r="V206" s="6" t="str">
        <f t="shared" si="417"/>
        <v>Week 2</v>
      </c>
      <c r="W206" s="6" t="str">
        <f t="shared" si="417"/>
        <v>Week 1</v>
      </c>
      <c r="X206" s="240"/>
      <c r="Y206" s="240" t="s">
        <v>11</v>
      </c>
      <c r="Z206" s="240"/>
      <c r="AA206" s="240" t="s">
        <v>71</v>
      </c>
      <c r="AB206" s="242" t="s">
        <v>13</v>
      </c>
      <c r="AC206" s="123"/>
      <c r="AD206" s="7"/>
      <c r="AE206" s="7"/>
      <c r="AF206" s="8"/>
      <c r="AG206" s="8"/>
      <c r="AH206" s="8"/>
      <c r="AI206" s="8"/>
      <c r="AJ206" s="8"/>
      <c r="AK206" s="8"/>
      <c r="AL206" s="8"/>
    </row>
    <row r="207" spans="1:38" ht="15.75" customHeight="1" thickBot="1">
      <c r="A207" s="252"/>
      <c r="B207" s="241"/>
      <c r="C207" s="241"/>
      <c r="D207" s="241"/>
      <c r="E207" s="241"/>
      <c r="F207" s="241"/>
      <c r="G207" s="241"/>
      <c r="H207" s="241"/>
      <c r="I207" s="247"/>
      <c r="J207" s="247"/>
      <c r="K207" s="241"/>
      <c r="L207" s="10" t="str">
        <f t="shared" ref="L207:W207" si="418">TEXT(L$3, "mmm d") &amp; " - " &amp; TEXT(L$4, "mmm d")</f>
        <v>Aug 11 - Aug 17</v>
      </c>
      <c r="M207" s="10" t="str">
        <f t="shared" si="418"/>
        <v>Aug 18 - Aug 24</v>
      </c>
      <c r="N207" s="10" t="str">
        <f t="shared" si="418"/>
        <v>Aug 25 - Aug 31</v>
      </c>
      <c r="O207" s="10" t="str">
        <f t="shared" si="418"/>
        <v>Sep 1 - Sep 7</v>
      </c>
      <c r="P207" s="10" t="str">
        <f t="shared" si="418"/>
        <v>Sep 8 - Sep 14</v>
      </c>
      <c r="Q207" s="10" t="str">
        <f t="shared" si="418"/>
        <v>Sep 15 - Sep 21</v>
      </c>
      <c r="R207" s="10" t="str">
        <f t="shared" si="418"/>
        <v>Sep 22 - Sep 28</v>
      </c>
      <c r="S207" s="10" t="str">
        <f t="shared" si="418"/>
        <v>Sep 29 - Oct 5</v>
      </c>
      <c r="T207" s="10" t="str">
        <f t="shared" si="418"/>
        <v>Oct 6 - Oct 12</v>
      </c>
      <c r="U207" s="10" t="str">
        <f t="shared" si="418"/>
        <v>Oct 13 - Oct 19</v>
      </c>
      <c r="V207" s="10" t="str">
        <f t="shared" si="418"/>
        <v>Oct 20 - Oct 26</v>
      </c>
      <c r="W207" s="10" t="str">
        <f t="shared" si="418"/>
        <v>Oct 27 - Nov 3</v>
      </c>
      <c r="X207" s="241"/>
      <c r="Y207" s="241"/>
      <c r="Z207" s="241"/>
      <c r="AA207" s="241"/>
      <c r="AB207" s="243"/>
      <c r="AC207" s="11"/>
      <c r="AD207" s="7"/>
      <c r="AE207" s="7"/>
      <c r="AF207" s="8"/>
      <c r="AG207" s="8"/>
      <c r="AH207" s="8"/>
      <c r="AI207" s="8"/>
      <c r="AJ207" s="8"/>
      <c r="AK207" s="8"/>
      <c r="AL207" s="8"/>
    </row>
    <row r="208" spans="1:38" ht="15.75" customHeight="1" thickTop="1">
      <c r="A208" s="1"/>
      <c r="B208" s="1"/>
      <c r="C208" s="17"/>
      <c r="D208" s="17"/>
      <c r="E208" s="13"/>
      <c r="F208" s="14"/>
      <c r="G208" s="14"/>
      <c r="H208" s="14" t="s">
        <v>14</v>
      </c>
      <c r="I208" s="233"/>
      <c r="J208" s="237" t="s">
        <v>437</v>
      </c>
      <c r="K208" s="92"/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92"/>
      <c r="Y208" s="15">
        <f t="shared" ref="Y208:Y219" si="419">SUM(L208:W208)</f>
        <v>0</v>
      </c>
      <c r="Z208" s="92"/>
      <c r="AA208" s="256">
        <f>IFERROR($Y209/$Y$288, 0)</f>
        <v>0</v>
      </c>
      <c r="AB208" s="239">
        <f>IFERROR($Y209/$Y$398, 0)</f>
        <v>0</v>
      </c>
      <c r="AC208" s="16"/>
      <c r="AD208" s="3"/>
      <c r="AE208" s="3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7">
        <v>100</v>
      </c>
      <c r="B209" s="17">
        <v>200</v>
      </c>
      <c r="C209" s="17">
        <v>100</v>
      </c>
      <c r="D209" s="17">
        <v>200</v>
      </c>
      <c r="E209" s="14" t="s">
        <v>16</v>
      </c>
      <c r="F209" s="259"/>
      <c r="G209" s="257"/>
      <c r="H209" s="14" t="s">
        <v>15</v>
      </c>
      <c r="I209" s="233"/>
      <c r="J209" s="237"/>
      <c r="K209" s="92"/>
      <c r="L209" s="19">
        <f t="shared" ref="L209" si="420">$A209*L208</f>
        <v>0</v>
      </c>
      <c r="M209" s="19">
        <f t="shared" ref="M209:R209" si="421">$B209*M208</f>
        <v>0</v>
      </c>
      <c r="N209" s="19">
        <f t="shared" si="421"/>
        <v>0</v>
      </c>
      <c r="O209" s="19">
        <f t="shared" ref="O209:P209" si="422">$B209*O208</f>
        <v>0</v>
      </c>
      <c r="P209" s="19">
        <f t="shared" si="422"/>
        <v>0</v>
      </c>
      <c r="Q209" s="19">
        <f t="shared" ref="Q209" si="423">$B209*Q208</f>
        <v>0</v>
      </c>
      <c r="R209" s="19">
        <f t="shared" si="421"/>
        <v>0</v>
      </c>
      <c r="S209" s="19">
        <f t="shared" ref="S209:U209" si="424">$C209*S208</f>
        <v>0</v>
      </c>
      <c r="T209" s="19">
        <f t="shared" si="424"/>
        <v>0</v>
      </c>
      <c r="U209" s="19">
        <f t="shared" si="424"/>
        <v>0</v>
      </c>
      <c r="V209" s="19">
        <f t="shared" ref="V209:W209" si="425">$D209*V208</f>
        <v>0</v>
      </c>
      <c r="W209" s="19">
        <f t="shared" si="425"/>
        <v>0</v>
      </c>
      <c r="X209" s="92"/>
      <c r="Y209" s="20">
        <f t="shared" si="419"/>
        <v>0</v>
      </c>
      <c r="Z209" s="92"/>
      <c r="AA209" s="257"/>
      <c r="AB209" s="258"/>
      <c r="AC209" s="21"/>
      <c r="AD209" s="3"/>
      <c r="AE209" s="3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7"/>
      <c r="B210" s="17"/>
      <c r="C210" s="17"/>
      <c r="D210" s="17"/>
      <c r="E210" s="13"/>
      <c r="F210" s="14"/>
      <c r="G210" s="14"/>
      <c r="H210" s="14" t="s">
        <v>14</v>
      </c>
      <c r="I210" s="233"/>
      <c r="J210" s="237" t="s">
        <v>437</v>
      </c>
      <c r="K210" s="92"/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92"/>
      <c r="Y210" s="15">
        <f t="shared" si="419"/>
        <v>0</v>
      </c>
      <c r="Z210" s="92"/>
      <c r="AA210" s="256">
        <f>IFERROR($Y211/$Y$288, 0)</f>
        <v>0</v>
      </c>
      <c r="AB210" s="239">
        <f>IFERROR($Y211/$Y$398, 0)</f>
        <v>0</v>
      </c>
      <c r="AC210" s="16"/>
      <c r="AD210" s="3"/>
      <c r="AE210" s="3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7">
        <v>100</v>
      </c>
      <c r="B211" s="17">
        <v>200</v>
      </c>
      <c r="C211" s="17">
        <v>100</v>
      </c>
      <c r="D211" s="17">
        <v>200</v>
      </c>
      <c r="E211" s="14" t="s">
        <v>17</v>
      </c>
      <c r="F211" s="259"/>
      <c r="G211" s="257"/>
      <c r="H211" s="14" t="s">
        <v>15</v>
      </c>
      <c r="I211" s="233"/>
      <c r="J211" s="237"/>
      <c r="K211" s="92"/>
      <c r="L211" s="19">
        <f t="shared" ref="L211" si="426">$A211*L210</f>
        <v>0</v>
      </c>
      <c r="M211" s="19">
        <f t="shared" ref="M211:R211" si="427">$B211*M210</f>
        <v>0</v>
      </c>
      <c r="N211" s="19">
        <f t="shared" si="427"/>
        <v>0</v>
      </c>
      <c r="O211" s="19">
        <f t="shared" ref="O211:P211" si="428">$B211*O210</f>
        <v>0</v>
      </c>
      <c r="P211" s="19">
        <f t="shared" si="428"/>
        <v>0</v>
      </c>
      <c r="Q211" s="19">
        <f t="shared" ref="Q211" si="429">$B211*Q210</f>
        <v>0</v>
      </c>
      <c r="R211" s="19">
        <f t="shared" si="427"/>
        <v>0</v>
      </c>
      <c r="S211" s="19">
        <f t="shared" ref="S211:U211" si="430">$C211*S210</f>
        <v>0</v>
      </c>
      <c r="T211" s="19">
        <f t="shared" si="430"/>
        <v>0</v>
      </c>
      <c r="U211" s="19">
        <f t="shared" si="430"/>
        <v>0</v>
      </c>
      <c r="V211" s="19">
        <f t="shared" ref="V211:W211" si="431">$D211*V210</f>
        <v>0</v>
      </c>
      <c r="W211" s="19">
        <f t="shared" si="431"/>
        <v>0</v>
      </c>
      <c r="X211" s="92"/>
      <c r="Y211" s="20">
        <f t="shared" si="419"/>
        <v>0</v>
      </c>
      <c r="Z211" s="92"/>
      <c r="AA211" s="257"/>
      <c r="AB211" s="258"/>
      <c r="AC211" s="21"/>
      <c r="AD211" s="3"/>
      <c r="AE211" s="3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7"/>
      <c r="B212" s="17"/>
      <c r="C212" s="17"/>
      <c r="D212" s="17"/>
      <c r="E212" s="13"/>
      <c r="F212" s="14"/>
      <c r="G212" s="14"/>
      <c r="H212" s="14" t="s">
        <v>14</v>
      </c>
      <c r="I212" s="233"/>
      <c r="J212" s="237" t="s">
        <v>437</v>
      </c>
      <c r="K212" s="92"/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92"/>
      <c r="Y212" s="15">
        <f t="shared" si="419"/>
        <v>0</v>
      </c>
      <c r="Z212" s="92"/>
      <c r="AA212" s="256">
        <f>IFERROR($Y213/$Y$288, 0)</f>
        <v>0</v>
      </c>
      <c r="AB212" s="239">
        <f>IFERROR($Y213/$Y$398, 0)</f>
        <v>0</v>
      </c>
      <c r="AC212" s="16"/>
      <c r="AD212" s="3"/>
      <c r="AE212" s="3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7">
        <v>100</v>
      </c>
      <c r="B213" s="17">
        <v>200</v>
      </c>
      <c r="C213" s="17">
        <v>100</v>
      </c>
      <c r="D213" s="17">
        <v>200</v>
      </c>
      <c r="E213" s="14" t="s">
        <v>18</v>
      </c>
      <c r="F213" s="259"/>
      <c r="G213" s="257"/>
      <c r="H213" s="14" t="s">
        <v>15</v>
      </c>
      <c r="I213" s="233"/>
      <c r="J213" s="237"/>
      <c r="K213" s="92"/>
      <c r="L213" s="19">
        <f t="shared" ref="L213" si="432">$A213*L212</f>
        <v>0</v>
      </c>
      <c r="M213" s="19">
        <f t="shared" ref="M213:R213" si="433">$B213*M212</f>
        <v>0</v>
      </c>
      <c r="N213" s="19">
        <f t="shared" si="433"/>
        <v>0</v>
      </c>
      <c r="O213" s="19">
        <f t="shared" ref="O213:P213" si="434">$B213*O212</f>
        <v>0</v>
      </c>
      <c r="P213" s="19">
        <f t="shared" si="434"/>
        <v>0</v>
      </c>
      <c r="Q213" s="19">
        <f t="shared" ref="Q213" si="435">$B213*Q212</f>
        <v>0</v>
      </c>
      <c r="R213" s="19">
        <f t="shared" si="433"/>
        <v>0</v>
      </c>
      <c r="S213" s="19">
        <f t="shared" ref="S213:U213" si="436">$C213*S212</f>
        <v>0</v>
      </c>
      <c r="T213" s="19">
        <f t="shared" si="436"/>
        <v>0</v>
      </c>
      <c r="U213" s="19">
        <f t="shared" si="436"/>
        <v>0</v>
      </c>
      <c r="V213" s="19">
        <f t="shared" ref="V213:W213" si="437">$D213*V212</f>
        <v>0</v>
      </c>
      <c r="W213" s="19">
        <f t="shared" si="437"/>
        <v>0</v>
      </c>
      <c r="X213" s="92"/>
      <c r="Y213" s="20">
        <f t="shared" si="419"/>
        <v>0</v>
      </c>
      <c r="Z213" s="92"/>
      <c r="AA213" s="257"/>
      <c r="AB213" s="258"/>
      <c r="AC213" s="21"/>
      <c r="AD213" s="3"/>
      <c r="AE213" s="3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7"/>
      <c r="B214" s="17"/>
      <c r="C214" s="17"/>
      <c r="D214" s="17"/>
      <c r="E214" s="13"/>
      <c r="F214" s="14"/>
      <c r="G214" s="14"/>
      <c r="H214" s="14" t="s">
        <v>14</v>
      </c>
      <c r="I214" s="233"/>
      <c r="J214" s="237" t="s">
        <v>437</v>
      </c>
      <c r="K214" s="92"/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92"/>
      <c r="Y214" s="15">
        <f t="shared" si="419"/>
        <v>0</v>
      </c>
      <c r="Z214" s="92"/>
      <c r="AA214" s="256">
        <f>IFERROR($Y215/$Y$288, 0)</f>
        <v>0</v>
      </c>
      <c r="AB214" s="239">
        <f>IFERROR($Y215/$Y$398, 0)</f>
        <v>0</v>
      </c>
      <c r="AC214" s="16"/>
      <c r="AD214" s="3"/>
      <c r="AE214" s="3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7">
        <v>100</v>
      </c>
      <c r="B215" s="17">
        <v>200</v>
      </c>
      <c r="C215" s="17">
        <v>100</v>
      </c>
      <c r="D215" s="17">
        <v>200</v>
      </c>
      <c r="E215" s="14" t="s">
        <v>19</v>
      </c>
      <c r="F215" s="259"/>
      <c r="G215" s="257"/>
      <c r="H215" s="14" t="s">
        <v>15</v>
      </c>
      <c r="I215" s="233"/>
      <c r="J215" s="237"/>
      <c r="K215" s="92"/>
      <c r="L215" s="19">
        <f t="shared" ref="L215" si="438">$A215*L214</f>
        <v>0</v>
      </c>
      <c r="M215" s="19">
        <f t="shared" ref="M215:R215" si="439">$B215*M214</f>
        <v>0</v>
      </c>
      <c r="N215" s="19">
        <f t="shared" si="439"/>
        <v>0</v>
      </c>
      <c r="O215" s="19">
        <f t="shared" ref="O215:P215" si="440">$B215*O214</f>
        <v>0</v>
      </c>
      <c r="P215" s="19">
        <f t="shared" si="440"/>
        <v>0</v>
      </c>
      <c r="Q215" s="19">
        <f t="shared" ref="Q215" si="441">$B215*Q214</f>
        <v>0</v>
      </c>
      <c r="R215" s="19">
        <f t="shared" si="439"/>
        <v>0</v>
      </c>
      <c r="S215" s="19">
        <f t="shared" ref="S215:U215" si="442">$C215*S214</f>
        <v>0</v>
      </c>
      <c r="T215" s="19">
        <f t="shared" si="442"/>
        <v>0</v>
      </c>
      <c r="U215" s="19">
        <f t="shared" si="442"/>
        <v>0</v>
      </c>
      <c r="V215" s="19">
        <f t="shared" ref="V215:W215" si="443">$D215*V214</f>
        <v>0</v>
      </c>
      <c r="W215" s="19">
        <f t="shared" si="443"/>
        <v>0</v>
      </c>
      <c r="X215" s="92"/>
      <c r="Y215" s="20">
        <f t="shared" si="419"/>
        <v>0</v>
      </c>
      <c r="Z215" s="92"/>
      <c r="AA215" s="257"/>
      <c r="AB215" s="258"/>
      <c r="AC215" s="21"/>
      <c r="AD215" s="3"/>
      <c r="AE215" s="3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7"/>
      <c r="B216" s="17"/>
      <c r="C216" s="17"/>
      <c r="D216" s="17"/>
      <c r="E216" s="13"/>
      <c r="F216" s="14"/>
      <c r="G216" s="14"/>
      <c r="H216" s="14" t="s">
        <v>14</v>
      </c>
      <c r="I216" s="233"/>
      <c r="J216" s="237" t="s">
        <v>437</v>
      </c>
      <c r="K216" s="92"/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92"/>
      <c r="Y216" s="15">
        <f t="shared" si="419"/>
        <v>0</v>
      </c>
      <c r="Z216" s="92"/>
      <c r="AA216" s="256">
        <f>IFERROR($Y217/$Y$288, 0)</f>
        <v>0</v>
      </c>
      <c r="AB216" s="239">
        <f>IFERROR($Y217/$Y$398, 0)</f>
        <v>0</v>
      </c>
      <c r="AC216" s="16"/>
      <c r="AD216" s="3"/>
      <c r="AE216" s="3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7">
        <v>100</v>
      </c>
      <c r="B217" s="17">
        <v>200</v>
      </c>
      <c r="C217" s="17">
        <v>100</v>
      </c>
      <c r="D217" s="17">
        <v>200</v>
      </c>
      <c r="E217" s="14" t="s">
        <v>20</v>
      </c>
      <c r="F217" s="259"/>
      <c r="G217" s="257"/>
      <c r="H217" s="14" t="s">
        <v>15</v>
      </c>
      <c r="I217" s="233"/>
      <c r="J217" s="237"/>
      <c r="K217" s="92"/>
      <c r="L217" s="19">
        <f t="shared" ref="L217" si="444">$A217*L216</f>
        <v>0</v>
      </c>
      <c r="M217" s="19">
        <f t="shared" ref="M217:R217" si="445">$B217*M216</f>
        <v>0</v>
      </c>
      <c r="N217" s="19">
        <f t="shared" si="445"/>
        <v>0</v>
      </c>
      <c r="O217" s="19">
        <f t="shared" ref="O217:P217" si="446">$B217*O216</f>
        <v>0</v>
      </c>
      <c r="P217" s="19">
        <f t="shared" si="446"/>
        <v>0</v>
      </c>
      <c r="Q217" s="19">
        <f t="shared" ref="Q217" si="447">$B217*Q216</f>
        <v>0</v>
      </c>
      <c r="R217" s="19">
        <f t="shared" si="445"/>
        <v>0</v>
      </c>
      <c r="S217" s="19">
        <f t="shared" ref="S217:U217" si="448">$C217*S216</f>
        <v>0</v>
      </c>
      <c r="T217" s="19">
        <f t="shared" si="448"/>
        <v>0</v>
      </c>
      <c r="U217" s="19">
        <f t="shared" si="448"/>
        <v>0</v>
      </c>
      <c r="V217" s="19">
        <f t="shared" ref="V217:W217" si="449">$D217*V216</f>
        <v>0</v>
      </c>
      <c r="W217" s="19">
        <f t="shared" si="449"/>
        <v>0</v>
      </c>
      <c r="X217" s="92"/>
      <c r="Y217" s="20">
        <f t="shared" si="419"/>
        <v>0</v>
      </c>
      <c r="Z217" s="92"/>
      <c r="AA217" s="257"/>
      <c r="AB217" s="258"/>
      <c r="AC217" s="21"/>
      <c r="AD217" s="3"/>
      <c r="AE217" s="3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7"/>
      <c r="B218" s="17"/>
      <c r="C218" s="17"/>
      <c r="D218" s="17"/>
      <c r="E218" s="13"/>
      <c r="F218" s="14"/>
      <c r="G218" s="14"/>
      <c r="H218" s="14" t="s">
        <v>14</v>
      </c>
      <c r="I218" s="233"/>
      <c r="J218" s="237" t="s">
        <v>437</v>
      </c>
      <c r="K218" s="92"/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92"/>
      <c r="Y218" s="15">
        <f t="shared" si="419"/>
        <v>0</v>
      </c>
      <c r="Z218" s="92"/>
      <c r="AA218" s="256">
        <f>IFERROR($Y219/$Y$288, 0)</f>
        <v>0</v>
      </c>
      <c r="AB218" s="239">
        <f>IFERROR($Y219/$Y$398, 0)</f>
        <v>0</v>
      </c>
      <c r="AC218" s="16"/>
      <c r="AD218" s="3"/>
      <c r="AE218" s="3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7">
        <v>100</v>
      </c>
      <c r="B219" s="17">
        <v>200</v>
      </c>
      <c r="C219" s="17">
        <v>100</v>
      </c>
      <c r="D219" s="17">
        <v>200</v>
      </c>
      <c r="E219" s="14" t="s">
        <v>21</v>
      </c>
      <c r="F219" s="259"/>
      <c r="G219" s="257"/>
      <c r="H219" s="14" t="s">
        <v>15</v>
      </c>
      <c r="I219" s="233"/>
      <c r="J219" s="237"/>
      <c r="K219" s="92"/>
      <c r="L219" s="19">
        <f t="shared" ref="L219" si="450">$A219*L218</f>
        <v>0</v>
      </c>
      <c r="M219" s="19">
        <f t="shared" ref="M219:R219" si="451">$B219*M218</f>
        <v>0</v>
      </c>
      <c r="N219" s="19">
        <f t="shared" si="451"/>
        <v>0</v>
      </c>
      <c r="O219" s="19">
        <f t="shared" ref="O219:P219" si="452">$B219*O218</f>
        <v>0</v>
      </c>
      <c r="P219" s="19">
        <f t="shared" si="452"/>
        <v>0</v>
      </c>
      <c r="Q219" s="19">
        <f t="shared" ref="Q219" si="453">$B219*Q218</f>
        <v>0</v>
      </c>
      <c r="R219" s="19">
        <f t="shared" si="451"/>
        <v>0</v>
      </c>
      <c r="S219" s="19">
        <f t="shared" ref="S219:U219" si="454">$C219*S218</f>
        <v>0</v>
      </c>
      <c r="T219" s="19">
        <f t="shared" si="454"/>
        <v>0</v>
      </c>
      <c r="U219" s="19">
        <f t="shared" si="454"/>
        <v>0</v>
      </c>
      <c r="V219" s="19">
        <f t="shared" ref="V219:W219" si="455">$D219*V218</f>
        <v>0</v>
      </c>
      <c r="W219" s="19">
        <f t="shared" si="455"/>
        <v>0</v>
      </c>
      <c r="X219" s="92"/>
      <c r="Y219" s="20">
        <f t="shared" si="419"/>
        <v>0</v>
      </c>
      <c r="Z219" s="92"/>
      <c r="AA219" s="257"/>
      <c r="AB219" s="258"/>
      <c r="AC219" s="21"/>
      <c r="AD219" s="3"/>
      <c r="AE219" s="3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43"/>
      <c r="B220" s="43"/>
      <c r="C220" s="43"/>
      <c r="D220" s="43"/>
      <c r="E220" s="44"/>
      <c r="F220" s="45"/>
      <c r="G220" s="45"/>
      <c r="H220" s="44"/>
      <c r="I220" s="134"/>
      <c r="J220" s="134"/>
      <c r="K220" s="129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129"/>
      <c r="Y220" s="47"/>
      <c r="Z220" s="129"/>
      <c r="AA220" s="171"/>
      <c r="AB220" s="172"/>
      <c r="AC220" s="21"/>
      <c r="AD220" s="3"/>
      <c r="AE220" s="3"/>
      <c r="AF220" s="1"/>
      <c r="AG220" s="1"/>
      <c r="AH220" s="1"/>
      <c r="AI220" s="1"/>
      <c r="AJ220" s="1"/>
      <c r="AK220" s="1"/>
      <c r="AL220" s="1"/>
    </row>
    <row r="221" spans="1:38" ht="27.6">
      <c r="A221" s="48" t="s">
        <v>72</v>
      </c>
      <c r="B221" s="48" t="s">
        <v>73</v>
      </c>
      <c r="C221" s="48" t="s">
        <v>74</v>
      </c>
      <c r="D221" s="48" t="s">
        <v>75</v>
      </c>
      <c r="E221" s="4"/>
      <c r="F221" s="49"/>
      <c r="G221" s="49"/>
      <c r="H221" s="4"/>
      <c r="I221" s="128"/>
      <c r="J221" s="128"/>
      <c r="K221" s="129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129"/>
      <c r="Y221" s="51"/>
      <c r="Z221" s="129"/>
      <c r="AA221" s="52"/>
      <c r="AB221" s="53"/>
      <c r="AC221" s="54"/>
      <c r="AD221" s="7"/>
      <c r="AE221" s="7"/>
      <c r="AF221" s="8"/>
      <c r="AG221" s="8"/>
      <c r="AH221" s="8"/>
      <c r="AI221" s="8"/>
      <c r="AJ221" s="8"/>
      <c r="AK221" s="8"/>
      <c r="AL221" s="8"/>
    </row>
    <row r="222" spans="1:38" ht="15.75" customHeight="1">
      <c r="A222" s="1"/>
      <c r="B222" s="1"/>
      <c r="C222" s="17"/>
      <c r="D222" s="17"/>
      <c r="E222" s="13"/>
      <c r="F222" s="14"/>
      <c r="G222" s="14"/>
      <c r="H222" s="14" t="s">
        <v>76</v>
      </c>
      <c r="I222" s="233"/>
      <c r="J222" s="237" t="s">
        <v>437</v>
      </c>
      <c r="K222" s="92"/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92"/>
      <c r="Y222" s="15">
        <f>SUM(L222:W222)</f>
        <v>0</v>
      </c>
      <c r="Z222" s="92"/>
      <c r="AA222" s="256">
        <f>IFERROR($Y223/$Y$288, 0)</f>
        <v>0</v>
      </c>
      <c r="AB222" s="239">
        <f>IFERROR($Y223/$Y$398, 0)</f>
        <v>0</v>
      </c>
      <c r="AC222" s="16"/>
      <c r="AD222" s="3"/>
      <c r="AE222" s="3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7">
        <v>100</v>
      </c>
      <c r="B223" s="17">
        <v>100</v>
      </c>
      <c r="C223" s="17">
        <v>100</v>
      </c>
      <c r="D223" s="17">
        <v>200</v>
      </c>
      <c r="E223" s="14" t="s">
        <v>77</v>
      </c>
      <c r="F223" s="259"/>
      <c r="G223" s="257"/>
      <c r="H223" s="14" t="s">
        <v>15</v>
      </c>
      <c r="I223" s="233"/>
      <c r="J223" s="237"/>
      <c r="K223" s="92"/>
      <c r="L223" s="19">
        <f t="shared" ref="L223" si="456">$A223*L222</f>
        <v>0</v>
      </c>
      <c r="M223" s="19">
        <f t="shared" ref="M223:R223" si="457">$B223*M222</f>
        <v>0</v>
      </c>
      <c r="N223" s="19">
        <f t="shared" si="457"/>
        <v>0</v>
      </c>
      <c r="O223" s="19">
        <f t="shared" ref="O223:P223" si="458">$B223*O222</f>
        <v>0</v>
      </c>
      <c r="P223" s="19">
        <f t="shared" si="458"/>
        <v>0</v>
      </c>
      <c r="Q223" s="19">
        <f t="shared" ref="Q223" si="459">$B223*Q222</f>
        <v>0</v>
      </c>
      <c r="R223" s="19">
        <f t="shared" si="457"/>
        <v>0</v>
      </c>
      <c r="S223" s="19">
        <f t="shared" ref="S223:U223" si="460">$C223*S222</f>
        <v>0</v>
      </c>
      <c r="T223" s="19">
        <f t="shared" si="460"/>
        <v>0</v>
      </c>
      <c r="U223" s="19">
        <f t="shared" si="460"/>
        <v>0</v>
      </c>
      <c r="V223" s="19">
        <f t="shared" ref="V223:W223" si="461">$D223*V222</f>
        <v>0</v>
      </c>
      <c r="W223" s="19">
        <f t="shared" si="461"/>
        <v>0</v>
      </c>
      <c r="X223" s="92"/>
      <c r="Y223" s="20">
        <f>SUM(L223:W223)</f>
        <v>0</v>
      </c>
      <c r="Z223" s="92"/>
      <c r="AA223" s="257"/>
      <c r="AB223" s="258"/>
      <c r="AC223" s="21"/>
      <c r="AD223" s="3"/>
      <c r="AE223" s="3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7"/>
      <c r="C224" s="17"/>
      <c r="D224" s="17"/>
      <c r="E224" s="14"/>
      <c r="F224" s="22"/>
      <c r="G224" s="22"/>
      <c r="H224" s="14"/>
      <c r="I224" s="126"/>
      <c r="J224" s="126"/>
      <c r="K224" s="92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92"/>
      <c r="Y224" s="20"/>
      <c r="Z224" s="92"/>
      <c r="AA224" s="23"/>
      <c r="AB224" s="24"/>
      <c r="AC224" s="21"/>
      <c r="AD224" s="3"/>
      <c r="AE224" s="3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7"/>
      <c r="B225" s="17"/>
      <c r="C225" s="17"/>
      <c r="D225" s="17"/>
      <c r="E225" s="25" t="s">
        <v>78</v>
      </c>
      <c r="F225" s="31"/>
      <c r="G225" s="28"/>
      <c r="H225" s="127" t="s">
        <v>418</v>
      </c>
      <c r="I225" s="126"/>
      <c r="J225" s="126"/>
      <c r="K225" s="92"/>
      <c r="L225" s="26">
        <f t="shared" ref="L225:W225" si="462">SUMIF($H$207:$H$226,"$$$",L$207:L$226)</f>
        <v>0</v>
      </c>
      <c r="M225" s="26">
        <f t="shared" si="462"/>
        <v>0</v>
      </c>
      <c r="N225" s="26">
        <f t="shared" si="462"/>
        <v>0</v>
      </c>
      <c r="O225" s="26">
        <f t="shared" si="462"/>
        <v>0</v>
      </c>
      <c r="P225" s="26">
        <f t="shared" si="462"/>
        <v>0</v>
      </c>
      <c r="Q225" s="26">
        <f t="shared" si="462"/>
        <v>0</v>
      </c>
      <c r="R225" s="26">
        <f t="shared" si="462"/>
        <v>0</v>
      </c>
      <c r="S225" s="26">
        <f t="shared" si="462"/>
        <v>0</v>
      </c>
      <c r="T225" s="26">
        <f t="shared" si="462"/>
        <v>0</v>
      </c>
      <c r="U225" s="26">
        <f t="shared" si="462"/>
        <v>0</v>
      </c>
      <c r="V225" s="26">
        <f>SUMIF($H$207:$H$226,"$$$",V$207:V$226)</f>
        <v>0</v>
      </c>
      <c r="W225" s="26">
        <f t="shared" si="462"/>
        <v>0</v>
      </c>
      <c r="X225" s="92"/>
      <c r="Y225" s="27">
        <f>SUM(L225:W225)</f>
        <v>0</v>
      </c>
      <c r="Z225" s="92"/>
      <c r="AA225" s="34">
        <f>IFERROR($Y225/$Y$288, 0)</f>
        <v>0</v>
      </c>
      <c r="AB225" s="29">
        <f>IFERROR($Y225/$Y$398, 0)</f>
        <v>0</v>
      </c>
      <c r="AC225" s="123"/>
      <c r="AD225" s="7"/>
      <c r="AE225" s="7"/>
      <c r="AF225" s="8"/>
      <c r="AG225" s="8"/>
      <c r="AH225" s="8"/>
      <c r="AI225" s="8"/>
      <c r="AJ225" s="8"/>
      <c r="AK225" s="8"/>
      <c r="AL225" s="8"/>
    </row>
    <row r="226" spans="1:38" ht="27.6">
      <c r="A226" s="5" t="s">
        <v>750</v>
      </c>
      <c r="B226" s="5" t="s">
        <v>23</v>
      </c>
      <c r="C226" s="5" t="s">
        <v>24</v>
      </c>
      <c r="D226" s="5" t="s">
        <v>25</v>
      </c>
      <c r="E226" s="5" t="s">
        <v>79</v>
      </c>
      <c r="F226" s="260" t="s">
        <v>70</v>
      </c>
      <c r="G226" s="257"/>
      <c r="H226" s="4"/>
      <c r="I226" s="128"/>
      <c r="J226" s="128"/>
      <c r="K226" s="129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129"/>
      <c r="Y226" s="30"/>
      <c r="Z226" s="129"/>
      <c r="AA226" s="130"/>
      <c r="AB226" s="131"/>
      <c r="AC226" s="123"/>
      <c r="AD226" s="7"/>
      <c r="AE226" s="7"/>
      <c r="AF226" s="8"/>
      <c r="AG226" s="8"/>
      <c r="AH226" s="8"/>
      <c r="AI226" s="8"/>
      <c r="AJ226" s="8"/>
      <c r="AK226" s="8"/>
      <c r="AL226" s="8"/>
    </row>
    <row r="227" spans="1:38" ht="15.75" customHeight="1">
      <c r="A227" s="1"/>
      <c r="B227" s="1"/>
      <c r="C227" s="17"/>
      <c r="D227" s="17"/>
      <c r="E227" s="13"/>
      <c r="F227" s="14"/>
      <c r="G227" s="14"/>
      <c r="H227" s="14" t="s">
        <v>14</v>
      </c>
      <c r="I227" s="233"/>
      <c r="J227" s="237" t="s">
        <v>437</v>
      </c>
      <c r="K227" s="92"/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92"/>
      <c r="Y227" s="15">
        <f t="shared" ref="Y227:Y238" si="463">SUM(L227:W227)</f>
        <v>0</v>
      </c>
      <c r="Z227" s="92"/>
      <c r="AA227" s="256">
        <f>IFERROR($Y228/$Y$288, 0)</f>
        <v>0</v>
      </c>
      <c r="AB227" s="239">
        <f>IFERROR($Y228/$Y$398, 0)</f>
        <v>0</v>
      </c>
      <c r="AC227" s="121"/>
      <c r="AD227" s="3"/>
      <c r="AE227" s="3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7">
        <v>100</v>
      </c>
      <c r="B228" s="17">
        <v>100</v>
      </c>
      <c r="C228" s="17">
        <v>100</v>
      </c>
      <c r="D228" s="17">
        <v>200</v>
      </c>
      <c r="E228" s="14" t="s">
        <v>16</v>
      </c>
      <c r="F228" s="259"/>
      <c r="G228" s="257"/>
      <c r="H228" s="14" t="s">
        <v>15</v>
      </c>
      <c r="I228" s="233"/>
      <c r="J228" s="237"/>
      <c r="K228" s="92"/>
      <c r="L228" s="19">
        <f t="shared" ref="L228" si="464">$A228*L227</f>
        <v>0</v>
      </c>
      <c r="M228" s="19">
        <f t="shared" ref="M228:R228" si="465">$B228*M227</f>
        <v>0</v>
      </c>
      <c r="N228" s="19">
        <f t="shared" si="465"/>
        <v>0</v>
      </c>
      <c r="O228" s="19">
        <f t="shared" ref="O228:P228" si="466">$B228*O227</f>
        <v>0</v>
      </c>
      <c r="P228" s="19">
        <f t="shared" si="466"/>
        <v>0</v>
      </c>
      <c r="Q228" s="19">
        <f t="shared" ref="Q228" si="467">$B228*Q227</f>
        <v>0</v>
      </c>
      <c r="R228" s="19">
        <f t="shared" si="465"/>
        <v>0</v>
      </c>
      <c r="S228" s="19">
        <f t="shared" ref="S228:U228" si="468">$C228*S227</f>
        <v>0</v>
      </c>
      <c r="T228" s="19">
        <f t="shared" si="468"/>
        <v>0</v>
      </c>
      <c r="U228" s="19">
        <f t="shared" si="468"/>
        <v>0</v>
      </c>
      <c r="V228" s="19">
        <f t="shared" ref="V228:W228" si="469">$D228*V227</f>
        <v>0</v>
      </c>
      <c r="W228" s="19">
        <f t="shared" si="469"/>
        <v>0</v>
      </c>
      <c r="X228" s="92"/>
      <c r="Y228" s="20">
        <f t="shared" si="463"/>
        <v>0</v>
      </c>
      <c r="Z228" s="92"/>
      <c r="AA228" s="257"/>
      <c r="AB228" s="258"/>
      <c r="AC228" s="121"/>
      <c r="AD228" s="3"/>
      <c r="AE228" s="3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7"/>
      <c r="B229" s="17"/>
      <c r="C229" s="17"/>
      <c r="D229" s="17"/>
      <c r="E229" s="13"/>
      <c r="F229" s="14"/>
      <c r="G229" s="14"/>
      <c r="H229" s="14" t="s">
        <v>14</v>
      </c>
      <c r="I229" s="233"/>
      <c r="J229" s="237" t="s">
        <v>437</v>
      </c>
      <c r="K229" s="92"/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92"/>
      <c r="Y229" s="15">
        <f t="shared" si="463"/>
        <v>0</v>
      </c>
      <c r="Z229" s="92"/>
      <c r="AA229" s="256">
        <f>IFERROR($Y230/$Y$288, 0)</f>
        <v>0</v>
      </c>
      <c r="AB229" s="239">
        <f>IFERROR($Y230/$Y$398, 0)</f>
        <v>0</v>
      </c>
      <c r="AC229" s="121"/>
      <c r="AD229" s="3"/>
      <c r="AE229" s="3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7">
        <v>100</v>
      </c>
      <c r="B230" s="17">
        <v>100</v>
      </c>
      <c r="C230" s="17">
        <v>100</v>
      </c>
      <c r="D230" s="17">
        <v>200</v>
      </c>
      <c r="E230" s="14" t="s">
        <v>17</v>
      </c>
      <c r="F230" s="259"/>
      <c r="G230" s="257"/>
      <c r="H230" s="14" t="s">
        <v>15</v>
      </c>
      <c r="I230" s="233"/>
      <c r="J230" s="237"/>
      <c r="K230" s="92"/>
      <c r="L230" s="19">
        <f t="shared" ref="L230" si="470">$A230*L229</f>
        <v>0</v>
      </c>
      <c r="M230" s="19">
        <f t="shared" ref="M230:R230" si="471">$B230*M229</f>
        <v>0</v>
      </c>
      <c r="N230" s="19">
        <f t="shared" si="471"/>
        <v>0</v>
      </c>
      <c r="O230" s="19">
        <f t="shared" ref="O230:P230" si="472">$B230*O229</f>
        <v>0</v>
      </c>
      <c r="P230" s="19">
        <f t="shared" si="472"/>
        <v>0</v>
      </c>
      <c r="Q230" s="19">
        <f t="shared" ref="Q230" si="473">$B230*Q229</f>
        <v>0</v>
      </c>
      <c r="R230" s="19">
        <f t="shared" si="471"/>
        <v>0</v>
      </c>
      <c r="S230" s="19">
        <f t="shared" ref="S230:U230" si="474">$C230*S229</f>
        <v>0</v>
      </c>
      <c r="T230" s="19">
        <f t="shared" si="474"/>
        <v>0</v>
      </c>
      <c r="U230" s="19">
        <f t="shared" si="474"/>
        <v>0</v>
      </c>
      <c r="V230" s="19">
        <f t="shared" ref="V230:W230" si="475">$D230*V229</f>
        <v>0</v>
      </c>
      <c r="W230" s="19">
        <f t="shared" si="475"/>
        <v>0</v>
      </c>
      <c r="X230" s="92"/>
      <c r="Y230" s="20">
        <f t="shared" si="463"/>
        <v>0</v>
      </c>
      <c r="Z230" s="92"/>
      <c r="AA230" s="257"/>
      <c r="AB230" s="258"/>
      <c r="AC230" s="121"/>
      <c r="AD230" s="3"/>
      <c r="AE230" s="3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7"/>
      <c r="B231" s="17"/>
      <c r="C231" s="17"/>
      <c r="D231" s="17"/>
      <c r="E231" s="13"/>
      <c r="F231" s="14"/>
      <c r="G231" s="14"/>
      <c r="H231" s="14" t="s">
        <v>14</v>
      </c>
      <c r="I231" s="233"/>
      <c r="J231" s="237" t="s">
        <v>437</v>
      </c>
      <c r="K231" s="92"/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92"/>
      <c r="Y231" s="15">
        <f t="shared" si="463"/>
        <v>0</v>
      </c>
      <c r="Z231" s="92"/>
      <c r="AA231" s="256">
        <f>IFERROR($Y232/$Y$288, 0)</f>
        <v>0</v>
      </c>
      <c r="AB231" s="239">
        <f>IFERROR($Y232/$Y$398, 0)</f>
        <v>0</v>
      </c>
      <c r="AC231" s="121"/>
      <c r="AD231" s="3"/>
      <c r="AE231" s="3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7">
        <v>100</v>
      </c>
      <c r="B232" s="17">
        <v>100</v>
      </c>
      <c r="C232" s="17">
        <v>100</v>
      </c>
      <c r="D232" s="17">
        <v>200</v>
      </c>
      <c r="E232" s="14" t="s">
        <v>18</v>
      </c>
      <c r="F232" s="259"/>
      <c r="G232" s="257"/>
      <c r="H232" s="14" t="s">
        <v>15</v>
      </c>
      <c r="I232" s="233"/>
      <c r="J232" s="237"/>
      <c r="K232" s="92"/>
      <c r="L232" s="19">
        <f t="shared" ref="L232" si="476">$A232*L231</f>
        <v>0</v>
      </c>
      <c r="M232" s="19">
        <f t="shared" ref="M232:R232" si="477">$B232*M231</f>
        <v>0</v>
      </c>
      <c r="N232" s="19">
        <f t="shared" si="477"/>
        <v>0</v>
      </c>
      <c r="O232" s="19">
        <f t="shared" ref="O232:P232" si="478">$B232*O231</f>
        <v>0</v>
      </c>
      <c r="P232" s="19">
        <f t="shared" si="478"/>
        <v>0</v>
      </c>
      <c r="Q232" s="19">
        <f t="shared" ref="Q232" si="479">$B232*Q231</f>
        <v>0</v>
      </c>
      <c r="R232" s="19">
        <f t="shared" si="477"/>
        <v>0</v>
      </c>
      <c r="S232" s="19">
        <f t="shared" ref="S232:U232" si="480">$C232*S231</f>
        <v>0</v>
      </c>
      <c r="T232" s="19">
        <f t="shared" si="480"/>
        <v>0</v>
      </c>
      <c r="U232" s="19">
        <f t="shared" si="480"/>
        <v>0</v>
      </c>
      <c r="V232" s="19">
        <f t="shared" ref="V232:W232" si="481">$D232*V231</f>
        <v>0</v>
      </c>
      <c r="W232" s="19">
        <f t="shared" si="481"/>
        <v>0</v>
      </c>
      <c r="X232" s="92"/>
      <c r="Y232" s="20">
        <f t="shared" si="463"/>
        <v>0</v>
      </c>
      <c r="Z232" s="92"/>
      <c r="AA232" s="257"/>
      <c r="AB232" s="258"/>
      <c r="AC232" s="121"/>
      <c r="AD232" s="3"/>
      <c r="AE232" s="3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7"/>
      <c r="B233" s="17"/>
      <c r="C233" s="17"/>
      <c r="D233" s="17"/>
      <c r="E233" s="13"/>
      <c r="F233" s="14"/>
      <c r="G233" s="14"/>
      <c r="H233" s="14" t="s">
        <v>14</v>
      </c>
      <c r="I233" s="233"/>
      <c r="J233" s="237" t="s">
        <v>437</v>
      </c>
      <c r="K233" s="92"/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92"/>
      <c r="Y233" s="15">
        <f t="shared" si="463"/>
        <v>0</v>
      </c>
      <c r="Z233" s="92"/>
      <c r="AA233" s="256">
        <f>IFERROR($Y234/$Y$288, 0)</f>
        <v>0</v>
      </c>
      <c r="AB233" s="239">
        <f>IFERROR($Y234/$Y$398, 0)</f>
        <v>0</v>
      </c>
      <c r="AC233" s="121"/>
      <c r="AD233" s="3"/>
      <c r="AE233" s="3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7">
        <v>100</v>
      </c>
      <c r="B234" s="17">
        <v>100</v>
      </c>
      <c r="C234" s="17">
        <v>100</v>
      </c>
      <c r="D234" s="17">
        <v>200</v>
      </c>
      <c r="E234" s="14" t="s">
        <v>19</v>
      </c>
      <c r="F234" s="259"/>
      <c r="G234" s="257"/>
      <c r="H234" s="14" t="s">
        <v>15</v>
      </c>
      <c r="I234" s="233"/>
      <c r="J234" s="237"/>
      <c r="K234" s="92"/>
      <c r="L234" s="19">
        <f t="shared" ref="L234" si="482">$A234*L233</f>
        <v>0</v>
      </c>
      <c r="M234" s="19">
        <f t="shared" ref="M234:R234" si="483">$B234*M233</f>
        <v>0</v>
      </c>
      <c r="N234" s="19">
        <f t="shared" si="483"/>
        <v>0</v>
      </c>
      <c r="O234" s="19">
        <f t="shared" ref="O234:P234" si="484">$B234*O233</f>
        <v>0</v>
      </c>
      <c r="P234" s="19">
        <f t="shared" si="484"/>
        <v>0</v>
      </c>
      <c r="Q234" s="19">
        <f t="shared" ref="Q234" si="485">$B234*Q233</f>
        <v>0</v>
      </c>
      <c r="R234" s="19">
        <f t="shared" si="483"/>
        <v>0</v>
      </c>
      <c r="S234" s="19">
        <f t="shared" ref="S234:U234" si="486">$C234*S233</f>
        <v>0</v>
      </c>
      <c r="T234" s="19">
        <f t="shared" si="486"/>
        <v>0</v>
      </c>
      <c r="U234" s="19">
        <f t="shared" si="486"/>
        <v>0</v>
      </c>
      <c r="V234" s="19">
        <f t="shared" ref="V234:W234" si="487">$D234*V233</f>
        <v>0</v>
      </c>
      <c r="W234" s="19">
        <f t="shared" si="487"/>
        <v>0</v>
      </c>
      <c r="X234" s="92"/>
      <c r="Y234" s="20">
        <f t="shared" si="463"/>
        <v>0</v>
      </c>
      <c r="Z234" s="92"/>
      <c r="AA234" s="257"/>
      <c r="AB234" s="258"/>
      <c r="AC234" s="121"/>
      <c r="AD234" s="3"/>
      <c r="AE234" s="3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7"/>
      <c r="B235" s="17"/>
      <c r="C235" s="17"/>
      <c r="D235" s="17"/>
      <c r="E235" s="13"/>
      <c r="F235" s="14"/>
      <c r="G235" s="14"/>
      <c r="H235" s="14" t="s">
        <v>14</v>
      </c>
      <c r="I235" s="233"/>
      <c r="J235" s="237" t="s">
        <v>437</v>
      </c>
      <c r="K235" s="92"/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92"/>
      <c r="Y235" s="15">
        <f t="shared" si="463"/>
        <v>0</v>
      </c>
      <c r="Z235" s="92"/>
      <c r="AA235" s="256">
        <f>IFERROR($Y236/$Y$288, 0)</f>
        <v>0</v>
      </c>
      <c r="AB235" s="239">
        <f>IFERROR($Y236/$Y$398, 0)</f>
        <v>0</v>
      </c>
      <c r="AC235" s="121"/>
      <c r="AD235" s="3"/>
      <c r="AE235" s="3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7">
        <v>100</v>
      </c>
      <c r="B236" s="17">
        <v>100</v>
      </c>
      <c r="C236" s="17">
        <v>100</v>
      </c>
      <c r="D236" s="17">
        <v>200</v>
      </c>
      <c r="E236" s="14" t="s">
        <v>20</v>
      </c>
      <c r="F236" s="259"/>
      <c r="G236" s="257"/>
      <c r="H236" s="14" t="s">
        <v>15</v>
      </c>
      <c r="I236" s="233"/>
      <c r="J236" s="237"/>
      <c r="K236" s="92"/>
      <c r="L236" s="19">
        <f t="shared" ref="L236" si="488">$A236*L235</f>
        <v>0</v>
      </c>
      <c r="M236" s="19">
        <f t="shared" ref="M236:R236" si="489">$B236*M235</f>
        <v>0</v>
      </c>
      <c r="N236" s="19">
        <f t="shared" si="489"/>
        <v>0</v>
      </c>
      <c r="O236" s="19">
        <f t="shared" ref="O236:P236" si="490">$B236*O235</f>
        <v>0</v>
      </c>
      <c r="P236" s="19">
        <f t="shared" si="490"/>
        <v>0</v>
      </c>
      <c r="Q236" s="19">
        <f t="shared" ref="Q236" si="491">$B236*Q235</f>
        <v>0</v>
      </c>
      <c r="R236" s="19">
        <f t="shared" si="489"/>
        <v>0</v>
      </c>
      <c r="S236" s="19">
        <f t="shared" ref="S236:U236" si="492">$C236*S235</f>
        <v>0</v>
      </c>
      <c r="T236" s="19">
        <f t="shared" si="492"/>
        <v>0</v>
      </c>
      <c r="U236" s="19">
        <f t="shared" si="492"/>
        <v>0</v>
      </c>
      <c r="V236" s="19">
        <f t="shared" ref="V236:W236" si="493">$D236*V235</f>
        <v>0</v>
      </c>
      <c r="W236" s="19">
        <f t="shared" si="493"/>
        <v>0</v>
      </c>
      <c r="X236" s="92"/>
      <c r="Y236" s="20">
        <f t="shared" si="463"/>
        <v>0</v>
      </c>
      <c r="Z236" s="92"/>
      <c r="AA236" s="257"/>
      <c r="AB236" s="258"/>
      <c r="AC236" s="121"/>
      <c r="AD236" s="3"/>
      <c r="AE236" s="3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7"/>
      <c r="B237" s="17"/>
      <c r="C237" s="17"/>
      <c r="D237" s="17"/>
      <c r="E237" s="18"/>
      <c r="F237" s="14"/>
      <c r="G237" s="14"/>
      <c r="H237" s="14" t="s">
        <v>14</v>
      </c>
      <c r="I237" s="233"/>
      <c r="J237" s="237" t="s">
        <v>437</v>
      </c>
      <c r="K237" s="92"/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92"/>
      <c r="Y237" s="15">
        <f t="shared" si="463"/>
        <v>0</v>
      </c>
      <c r="Z237" s="92"/>
      <c r="AA237" s="256">
        <f>IFERROR($Y238/$Y$288, 0)</f>
        <v>0</v>
      </c>
      <c r="AB237" s="239">
        <f>IFERROR($Y238/$Y$398, 0)</f>
        <v>0</v>
      </c>
      <c r="AC237" s="121"/>
      <c r="AD237" s="3"/>
      <c r="AE237" s="3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7">
        <v>100</v>
      </c>
      <c r="B238" s="17">
        <v>100</v>
      </c>
      <c r="C238" s="17">
        <v>100</v>
      </c>
      <c r="D238" s="17">
        <v>200</v>
      </c>
      <c r="E238" s="14" t="s">
        <v>21</v>
      </c>
      <c r="F238" s="259"/>
      <c r="G238" s="257"/>
      <c r="H238" s="14" t="s">
        <v>15</v>
      </c>
      <c r="I238" s="233"/>
      <c r="J238" s="237"/>
      <c r="K238" s="92"/>
      <c r="L238" s="19">
        <f t="shared" ref="L238" si="494">$A238*L237</f>
        <v>0</v>
      </c>
      <c r="M238" s="19">
        <f t="shared" ref="M238:R238" si="495">$B238*M237</f>
        <v>0</v>
      </c>
      <c r="N238" s="19">
        <f t="shared" si="495"/>
        <v>0</v>
      </c>
      <c r="O238" s="19">
        <f t="shared" ref="O238:P238" si="496">$B238*O237</f>
        <v>0</v>
      </c>
      <c r="P238" s="19">
        <f t="shared" si="496"/>
        <v>0</v>
      </c>
      <c r="Q238" s="19">
        <f t="shared" ref="Q238" si="497">$B238*Q237</f>
        <v>0</v>
      </c>
      <c r="R238" s="19">
        <f t="shared" si="495"/>
        <v>0</v>
      </c>
      <c r="S238" s="19">
        <f t="shared" ref="S238:U238" si="498">$C238*S237</f>
        <v>0</v>
      </c>
      <c r="T238" s="19">
        <f t="shared" si="498"/>
        <v>0</v>
      </c>
      <c r="U238" s="19">
        <f t="shared" si="498"/>
        <v>0</v>
      </c>
      <c r="V238" s="19">
        <f t="shared" ref="V238:W238" si="499">$D238*V237</f>
        <v>0</v>
      </c>
      <c r="W238" s="19">
        <f t="shared" si="499"/>
        <v>0</v>
      </c>
      <c r="X238" s="92"/>
      <c r="Y238" s="20">
        <f t="shared" si="463"/>
        <v>0</v>
      </c>
      <c r="Z238" s="92"/>
      <c r="AA238" s="257"/>
      <c r="AB238" s="258"/>
      <c r="AC238" s="121"/>
      <c r="AD238" s="3"/>
      <c r="AE238" s="3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8"/>
      <c r="B239" s="8"/>
      <c r="C239" s="17"/>
      <c r="D239" s="17"/>
      <c r="E239" s="14"/>
      <c r="F239" s="22"/>
      <c r="G239" s="22"/>
      <c r="H239" s="14"/>
      <c r="I239" s="126"/>
      <c r="J239" s="126"/>
      <c r="K239" s="92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92"/>
      <c r="Y239" s="20"/>
      <c r="Z239" s="92"/>
      <c r="AA239" s="124"/>
      <c r="AB239" s="125"/>
      <c r="AC239" s="121"/>
      <c r="AD239" s="3"/>
      <c r="AE239" s="3"/>
      <c r="AF239" s="1"/>
      <c r="AG239" s="1"/>
      <c r="AH239" s="1"/>
      <c r="AI239" s="1"/>
      <c r="AJ239" s="1"/>
      <c r="AK239" s="1"/>
      <c r="AL239" s="1"/>
    </row>
    <row r="240" spans="1:38" ht="27.6">
      <c r="A240" s="48" t="s">
        <v>72</v>
      </c>
      <c r="B240" s="48" t="s">
        <v>73</v>
      </c>
      <c r="C240" s="48" t="s">
        <v>74</v>
      </c>
      <c r="D240" s="48" t="s">
        <v>75</v>
      </c>
      <c r="E240" s="4"/>
      <c r="F240" s="49"/>
      <c r="G240" s="49"/>
      <c r="H240" s="4"/>
      <c r="I240" s="128"/>
      <c r="J240" s="128"/>
      <c r="K240" s="129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129"/>
      <c r="Y240" s="51"/>
      <c r="Z240" s="129"/>
      <c r="AA240" s="52"/>
      <c r="AB240" s="53"/>
      <c r="AC240" s="54"/>
      <c r="AD240" s="7"/>
      <c r="AE240" s="7"/>
      <c r="AF240" s="8"/>
      <c r="AG240" s="8"/>
      <c r="AH240" s="8"/>
      <c r="AI240" s="8"/>
      <c r="AJ240" s="8"/>
      <c r="AK240" s="8"/>
      <c r="AL240" s="8"/>
    </row>
    <row r="241" spans="1:38" ht="15.75" customHeight="1">
      <c r="A241" s="1"/>
      <c r="B241" s="1"/>
      <c r="C241" s="17"/>
      <c r="D241" s="17"/>
      <c r="E241" s="13"/>
      <c r="F241" s="14"/>
      <c r="G241" s="14"/>
      <c r="H241" s="14" t="s">
        <v>76</v>
      </c>
      <c r="I241" s="233"/>
      <c r="J241" s="237" t="s">
        <v>437</v>
      </c>
      <c r="K241" s="92"/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92"/>
      <c r="Y241" s="15">
        <f>SUM(L241:W241)</f>
        <v>0</v>
      </c>
      <c r="Z241" s="92"/>
      <c r="AA241" s="256">
        <f>IFERROR($Y242/$Y$288, 0)</f>
        <v>0</v>
      </c>
      <c r="AB241" s="239">
        <f>IFERROR($Y242/$Y$398, 0)</f>
        <v>0</v>
      </c>
      <c r="AC241" s="16"/>
      <c r="AD241" s="3"/>
      <c r="AE241" s="3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7">
        <v>100</v>
      </c>
      <c r="B242" s="17">
        <v>100</v>
      </c>
      <c r="C242" s="17">
        <v>100</v>
      </c>
      <c r="D242" s="17">
        <v>200</v>
      </c>
      <c r="E242" s="14" t="s">
        <v>80</v>
      </c>
      <c r="F242" s="259"/>
      <c r="G242" s="257"/>
      <c r="H242" s="14" t="s">
        <v>15</v>
      </c>
      <c r="I242" s="233"/>
      <c r="J242" s="237"/>
      <c r="K242" s="92"/>
      <c r="L242" s="19">
        <f t="shared" ref="L242" si="500">$A242*L241</f>
        <v>0</v>
      </c>
      <c r="M242" s="19">
        <f t="shared" ref="M242:R242" si="501">$B242*M241</f>
        <v>0</v>
      </c>
      <c r="N242" s="19">
        <f t="shared" si="501"/>
        <v>0</v>
      </c>
      <c r="O242" s="19">
        <f t="shared" ref="O242:P242" si="502">$B242*O241</f>
        <v>0</v>
      </c>
      <c r="P242" s="19">
        <f t="shared" si="502"/>
        <v>0</v>
      </c>
      <c r="Q242" s="19">
        <f t="shared" ref="Q242" si="503">$B242*Q241</f>
        <v>0</v>
      </c>
      <c r="R242" s="19">
        <f t="shared" si="501"/>
        <v>0</v>
      </c>
      <c r="S242" s="19">
        <f t="shared" ref="S242:U242" si="504">$C242*S241</f>
        <v>0</v>
      </c>
      <c r="T242" s="19">
        <f t="shared" si="504"/>
        <v>0</v>
      </c>
      <c r="U242" s="19">
        <f t="shared" si="504"/>
        <v>0</v>
      </c>
      <c r="V242" s="19">
        <f t="shared" ref="V242:W242" si="505">$D242*V241</f>
        <v>0</v>
      </c>
      <c r="W242" s="19">
        <f t="shared" si="505"/>
        <v>0</v>
      </c>
      <c r="X242" s="92"/>
      <c r="Y242" s="20">
        <f>SUM(L242:W242)</f>
        <v>0</v>
      </c>
      <c r="Z242" s="92"/>
      <c r="AA242" s="257"/>
      <c r="AB242" s="258"/>
      <c r="AC242" s="21"/>
      <c r="AD242" s="3"/>
      <c r="AE242" s="3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7"/>
      <c r="B243" s="17"/>
      <c r="C243" s="17"/>
      <c r="D243" s="17"/>
      <c r="E243" s="14"/>
      <c r="F243" s="22"/>
      <c r="G243" s="22"/>
      <c r="H243" s="14"/>
      <c r="I243" s="126"/>
      <c r="J243" s="126"/>
      <c r="K243" s="92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92"/>
      <c r="Y243" s="20"/>
      <c r="Z243" s="92"/>
      <c r="AA243" s="157"/>
      <c r="AB243" s="158"/>
      <c r="AC243" s="121"/>
      <c r="AD243" s="3"/>
      <c r="AE243" s="3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7"/>
      <c r="B244" s="17"/>
      <c r="C244" s="17"/>
      <c r="D244" s="17"/>
      <c r="E244" s="25" t="s">
        <v>81</v>
      </c>
      <c r="F244" s="31"/>
      <c r="G244" s="28"/>
      <c r="H244" s="127" t="s">
        <v>418</v>
      </c>
      <c r="I244" s="126"/>
      <c r="J244" s="126"/>
      <c r="K244" s="92"/>
      <c r="L244" s="26">
        <f t="shared" ref="L244:W244" si="506">SUMIF($H$226:$H$245,"$$$",L$226:L$245)</f>
        <v>0</v>
      </c>
      <c r="M244" s="26">
        <f t="shared" si="506"/>
        <v>0</v>
      </c>
      <c r="N244" s="26">
        <f t="shared" si="506"/>
        <v>0</v>
      </c>
      <c r="O244" s="26">
        <f t="shared" si="506"/>
        <v>0</v>
      </c>
      <c r="P244" s="26">
        <f t="shared" si="506"/>
        <v>0</v>
      </c>
      <c r="Q244" s="26">
        <f t="shared" si="506"/>
        <v>0</v>
      </c>
      <c r="R244" s="26">
        <f t="shared" si="506"/>
        <v>0</v>
      </c>
      <c r="S244" s="26">
        <f t="shared" si="506"/>
        <v>0</v>
      </c>
      <c r="T244" s="26">
        <f t="shared" si="506"/>
        <v>0</v>
      </c>
      <c r="U244" s="26">
        <f t="shared" si="506"/>
        <v>0</v>
      </c>
      <c r="V244" s="26">
        <f>SUMIF($H$226:$H$245,"$$$",V$226:V$245)</f>
        <v>0</v>
      </c>
      <c r="W244" s="26">
        <f t="shared" si="506"/>
        <v>0</v>
      </c>
      <c r="X244" s="92"/>
      <c r="Y244" s="27">
        <f>SUM(L244:W244)</f>
        <v>0</v>
      </c>
      <c r="Z244" s="92"/>
      <c r="AA244" s="34">
        <f>IFERROR($Y244/$Y$288, 0)</f>
        <v>0</v>
      </c>
      <c r="AB244" s="29">
        <f>IFERROR($Y244/$Y$398, 0)</f>
        <v>0</v>
      </c>
      <c r="AC244" s="123"/>
      <c r="AD244" s="7"/>
      <c r="AE244" s="7"/>
      <c r="AF244" s="8"/>
      <c r="AG244" s="8"/>
      <c r="AH244" s="8"/>
      <c r="AI244" s="8"/>
      <c r="AJ244" s="8"/>
      <c r="AK244" s="8"/>
      <c r="AL244" s="8"/>
    </row>
    <row r="245" spans="1:38" ht="15.75" customHeight="1">
      <c r="A245" s="260" t="s">
        <v>6</v>
      </c>
      <c r="B245" s="260" t="s">
        <v>7</v>
      </c>
      <c r="C245" s="260" t="s">
        <v>8</v>
      </c>
      <c r="D245" s="260" t="s">
        <v>9</v>
      </c>
      <c r="E245" s="260" t="s">
        <v>82</v>
      </c>
      <c r="F245" s="260" t="s">
        <v>70</v>
      </c>
      <c r="G245" s="257"/>
      <c r="H245" s="4"/>
      <c r="I245" s="128"/>
      <c r="J245" s="128"/>
      <c r="K245" s="129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129"/>
      <c r="Y245" s="30"/>
      <c r="Z245" s="129"/>
      <c r="AA245" s="130"/>
      <c r="AB245" s="131"/>
      <c r="AC245" s="123"/>
      <c r="AD245" s="7"/>
      <c r="AE245" s="7"/>
      <c r="AF245" s="8"/>
      <c r="AG245" s="8"/>
      <c r="AH245" s="8"/>
      <c r="AI245" s="8"/>
      <c r="AJ245" s="8"/>
      <c r="AK245" s="8"/>
      <c r="AL245" s="8"/>
    </row>
    <row r="246" spans="1:38" ht="15.75" customHeight="1">
      <c r="A246" s="257"/>
      <c r="B246" s="257"/>
      <c r="C246" s="257"/>
      <c r="D246" s="257"/>
      <c r="E246" s="257"/>
      <c r="F246" s="257"/>
      <c r="G246" s="257"/>
      <c r="H246" s="110"/>
      <c r="I246" s="173"/>
      <c r="J246" s="173"/>
      <c r="K246" s="129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29"/>
      <c r="Y246" s="174"/>
      <c r="Z246" s="129"/>
      <c r="AA246" s="174"/>
      <c r="AB246" s="131"/>
      <c r="AC246" s="121"/>
      <c r="AD246" s="3"/>
      <c r="AE246" s="3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7"/>
      <c r="B247" s="17"/>
      <c r="C247" s="17"/>
      <c r="D247" s="17"/>
      <c r="E247" s="14"/>
      <c r="F247" s="22"/>
      <c r="G247" s="22"/>
      <c r="H247" s="14" t="s">
        <v>14</v>
      </c>
      <c r="I247" s="233"/>
      <c r="J247" s="237" t="s">
        <v>437</v>
      </c>
      <c r="K247" s="92"/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92"/>
      <c r="Y247" s="15">
        <f t="shared" ref="Y247:Y258" si="507">SUM(L247:W247)</f>
        <v>0</v>
      </c>
      <c r="Z247" s="92"/>
      <c r="AA247" s="256">
        <f>IFERROR($Y248/$Y$288, 0)</f>
        <v>0</v>
      </c>
      <c r="AB247" s="239">
        <f>IFERROR($Y248/$Y$398, 0)</f>
        <v>0</v>
      </c>
      <c r="AC247" s="121"/>
      <c r="AD247" s="3"/>
      <c r="AE247" s="3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7">
        <v>100</v>
      </c>
      <c r="B248" s="17">
        <v>100</v>
      </c>
      <c r="C248" s="17">
        <v>100</v>
      </c>
      <c r="D248" s="17">
        <v>200</v>
      </c>
      <c r="E248" s="14" t="s">
        <v>16</v>
      </c>
      <c r="F248" s="259"/>
      <c r="G248" s="257"/>
      <c r="H248" s="14" t="s">
        <v>15</v>
      </c>
      <c r="I248" s="233"/>
      <c r="J248" s="237"/>
      <c r="K248" s="92"/>
      <c r="L248" s="19">
        <f t="shared" ref="L248" si="508">$A248*L247</f>
        <v>0</v>
      </c>
      <c r="M248" s="19">
        <f t="shared" ref="M248:R248" si="509">$B248*M247</f>
        <v>0</v>
      </c>
      <c r="N248" s="19">
        <f t="shared" si="509"/>
        <v>0</v>
      </c>
      <c r="O248" s="19">
        <f t="shared" ref="O248:P248" si="510">$B248*O247</f>
        <v>0</v>
      </c>
      <c r="P248" s="19">
        <f t="shared" si="510"/>
        <v>0</v>
      </c>
      <c r="Q248" s="19">
        <f t="shared" ref="Q248" si="511">$B248*Q247</f>
        <v>0</v>
      </c>
      <c r="R248" s="19">
        <f t="shared" si="509"/>
        <v>0</v>
      </c>
      <c r="S248" s="19">
        <f t="shared" ref="S248:U248" si="512">$C248*S247</f>
        <v>0</v>
      </c>
      <c r="T248" s="19">
        <f t="shared" si="512"/>
        <v>0</v>
      </c>
      <c r="U248" s="19">
        <f t="shared" si="512"/>
        <v>0</v>
      </c>
      <c r="V248" s="19">
        <f t="shared" ref="V248:W248" si="513">$D248*V247</f>
        <v>0</v>
      </c>
      <c r="W248" s="19">
        <f t="shared" si="513"/>
        <v>0</v>
      </c>
      <c r="X248" s="92"/>
      <c r="Y248" s="20">
        <f t="shared" si="507"/>
        <v>0</v>
      </c>
      <c r="Z248" s="92"/>
      <c r="AA248" s="257"/>
      <c r="AB248" s="258"/>
      <c r="AC248" s="121"/>
      <c r="AD248" s="3"/>
      <c r="AE248" s="3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7"/>
      <c r="B249" s="17"/>
      <c r="C249" s="17"/>
      <c r="D249" s="17"/>
      <c r="E249" s="13"/>
      <c r="F249" s="14"/>
      <c r="G249" s="14"/>
      <c r="H249" s="14" t="s">
        <v>14</v>
      </c>
      <c r="I249" s="233"/>
      <c r="J249" s="237" t="s">
        <v>437</v>
      </c>
      <c r="K249" s="92"/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92"/>
      <c r="Y249" s="15">
        <f t="shared" si="507"/>
        <v>0</v>
      </c>
      <c r="Z249" s="92"/>
      <c r="AA249" s="256">
        <f>IFERROR($Y250/$Y$288, 0)</f>
        <v>0</v>
      </c>
      <c r="AB249" s="239">
        <f>IFERROR($Y250/$Y$398, 0)</f>
        <v>0</v>
      </c>
      <c r="AC249" s="121"/>
      <c r="AD249" s="3"/>
      <c r="AE249" s="3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7">
        <v>100</v>
      </c>
      <c r="B250" s="17">
        <v>100</v>
      </c>
      <c r="C250" s="17">
        <v>100</v>
      </c>
      <c r="D250" s="17">
        <v>200</v>
      </c>
      <c r="E250" s="14" t="s">
        <v>17</v>
      </c>
      <c r="F250" s="259"/>
      <c r="G250" s="257"/>
      <c r="H250" s="14" t="s">
        <v>15</v>
      </c>
      <c r="I250" s="233"/>
      <c r="J250" s="237"/>
      <c r="K250" s="92"/>
      <c r="L250" s="19">
        <f t="shared" ref="L250" si="514">$A250*L249</f>
        <v>0</v>
      </c>
      <c r="M250" s="19">
        <f t="shared" ref="M250:R250" si="515">$B250*M249</f>
        <v>0</v>
      </c>
      <c r="N250" s="19">
        <f t="shared" si="515"/>
        <v>0</v>
      </c>
      <c r="O250" s="19">
        <f t="shared" ref="O250:P250" si="516">$B250*O249</f>
        <v>0</v>
      </c>
      <c r="P250" s="19">
        <f t="shared" si="516"/>
        <v>0</v>
      </c>
      <c r="Q250" s="19">
        <f t="shared" ref="Q250" si="517">$B250*Q249</f>
        <v>0</v>
      </c>
      <c r="R250" s="19">
        <f t="shared" si="515"/>
        <v>0</v>
      </c>
      <c r="S250" s="19">
        <f t="shared" ref="S250:U250" si="518">$C250*S249</f>
        <v>0</v>
      </c>
      <c r="T250" s="19">
        <f t="shared" si="518"/>
        <v>0</v>
      </c>
      <c r="U250" s="19">
        <f t="shared" si="518"/>
        <v>0</v>
      </c>
      <c r="V250" s="19">
        <f t="shared" ref="V250:W250" si="519">$D250*V249</f>
        <v>0</v>
      </c>
      <c r="W250" s="19">
        <f t="shared" si="519"/>
        <v>0</v>
      </c>
      <c r="X250" s="92"/>
      <c r="Y250" s="20">
        <f t="shared" si="507"/>
        <v>0</v>
      </c>
      <c r="Z250" s="92"/>
      <c r="AA250" s="257"/>
      <c r="AB250" s="258"/>
      <c r="AC250" s="121"/>
      <c r="AD250" s="3"/>
      <c r="AE250" s="3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7"/>
      <c r="B251" s="17"/>
      <c r="C251" s="17"/>
      <c r="D251" s="17"/>
      <c r="E251" s="13"/>
      <c r="F251" s="14"/>
      <c r="G251" s="14"/>
      <c r="H251" s="14" t="s">
        <v>14</v>
      </c>
      <c r="I251" s="233"/>
      <c r="J251" s="237" t="s">
        <v>437</v>
      </c>
      <c r="K251" s="92"/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92"/>
      <c r="Y251" s="15">
        <f t="shared" si="507"/>
        <v>0</v>
      </c>
      <c r="Z251" s="92"/>
      <c r="AA251" s="256">
        <f>IFERROR($Y252/$Y$288, 0)</f>
        <v>0</v>
      </c>
      <c r="AB251" s="239">
        <f>IFERROR($Y252/$Y$398, 0)</f>
        <v>0</v>
      </c>
      <c r="AC251" s="121"/>
      <c r="AD251" s="3"/>
      <c r="AE251" s="3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7">
        <v>100</v>
      </c>
      <c r="B252" s="17">
        <v>100</v>
      </c>
      <c r="C252" s="17">
        <v>100</v>
      </c>
      <c r="D252" s="17">
        <v>200</v>
      </c>
      <c r="E252" s="14" t="s">
        <v>18</v>
      </c>
      <c r="F252" s="259"/>
      <c r="G252" s="257"/>
      <c r="H252" s="14" t="s">
        <v>15</v>
      </c>
      <c r="I252" s="233"/>
      <c r="J252" s="237"/>
      <c r="K252" s="92"/>
      <c r="L252" s="19">
        <f t="shared" ref="L252" si="520">$A252*L251</f>
        <v>0</v>
      </c>
      <c r="M252" s="19">
        <f t="shared" ref="M252:R252" si="521">$B252*M251</f>
        <v>0</v>
      </c>
      <c r="N252" s="19">
        <f t="shared" si="521"/>
        <v>0</v>
      </c>
      <c r="O252" s="19">
        <f t="shared" ref="O252:P252" si="522">$B252*O251</f>
        <v>0</v>
      </c>
      <c r="P252" s="19">
        <f t="shared" si="522"/>
        <v>0</v>
      </c>
      <c r="Q252" s="19">
        <f t="shared" ref="Q252" si="523">$B252*Q251</f>
        <v>0</v>
      </c>
      <c r="R252" s="19">
        <f t="shared" si="521"/>
        <v>0</v>
      </c>
      <c r="S252" s="19">
        <f t="shared" ref="S252:U252" si="524">$C252*S251</f>
        <v>0</v>
      </c>
      <c r="T252" s="19">
        <f t="shared" si="524"/>
        <v>0</v>
      </c>
      <c r="U252" s="19">
        <f t="shared" si="524"/>
        <v>0</v>
      </c>
      <c r="V252" s="19">
        <f t="shared" ref="V252:W252" si="525">$D252*V251</f>
        <v>0</v>
      </c>
      <c r="W252" s="19">
        <f t="shared" si="525"/>
        <v>0</v>
      </c>
      <c r="X252" s="92"/>
      <c r="Y252" s="20">
        <f t="shared" si="507"/>
        <v>0</v>
      </c>
      <c r="Z252" s="92"/>
      <c r="AA252" s="257"/>
      <c r="AB252" s="258"/>
      <c r="AC252" s="121"/>
      <c r="AD252" s="3"/>
      <c r="AE252" s="3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7"/>
      <c r="B253" s="17"/>
      <c r="C253" s="17"/>
      <c r="D253" s="17"/>
      <c r="E253" s="13"/>
      <c r="F253" s="14"/>
      <c r="G253" s="14"/>
      <c r="H253" s="14" t="s">
        <v>14</v>
      </c>
      <c r="I253" s="233"/>
      <c r="J253" s="237" t="s">
        <v>437</v>
      </c>
      <c r="K253" s="92"/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92"/>
      <c r="Y253" s="15">
        <f t="shared" si="507"/>
        <v>0</v>
      </c>
      <c r="Z253" s="92"/>
      <c r="AA253" s="256">
        <f>IFERROR($Y254/$Y$288, 0)</f>
        <v>0</v>
      </c>
      <c r="AB253" s="239">
        <f>IFERROR($Y254/$Y$398, 0)</f>
        <v>0</v>
      </c>
      <c r="AC253" s="121"/>
      <c r="AD253" s="3"/>
      <c r="AE253" s="3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7">
        <v>100</v>
      </c>
      <c r="B254" s="17">
        <v>100</v>
      </c>
      <c r="C254" s="17">
        <v>100</v>
      </c>
      <c r="D254" s="17">
        <v>200</v>
      </c>
      <c r="E254" s="14" t="s">
        <v>19</v>
      </c>
      <c r="F254" s="259"/>
      <c r="G254" s="257"/>
      <c r="H254" s="14" t="s">
        <v>15</v>
      </c>
      <c r="I254" s="233"/>
      <c r="J254" s="237"/>
      <c r="K254" s="92"/>
      <c r="L254" s="19">
        <f t="shared" ref="L254" si="526">$A254*L253</f>
        <v>0</v>
      </c>
      <c r="M254" s="19">
        <f t="shared" ref="M254:R254" si="527">$B254*M253</f>
        <v>0</v>
      </c>
      <c r="N254" s="19">
        <f t="shared" si="527"/>
        <v>0</v>
      </c>
      <c r="O254" s="19">
        <f t="shared" ref="O254:P254" si="528">$B254*O253</f>
        <v>0</v>
      </c>
      <c r="P254" s="19">
        <f t="shared" si="528"/>
        <v>0</v>
      </c>
      <c r="Q254" s="19">
        <f t="shared" ref="Q254" si="529">$B254*Q253</f>
        <v>0</v>
      </c>
      <c r="R254" s="19">
        <f t="shared" si="527"/>
        <v>0</v>
      </c>
      <c r="S254" s="19">
        <f t="shared" ref="S254:U254" si="530">$C254*S253</f>
        <v>0</v>
      </c>
      <c r="T254" s="19">
        <f t="shared" si="530"/>
        <v>0</v>
      </c>
      <c r="U254" s="19">
        <f t="shared" si="530"/>
        <v>0</v>
      </c>
      <c r="V254" s="19">
        <f t="shared" ref="V254:W254" si="531">$D254*V253</f>
        <v>0</v>
      </c>
      <c r="W254" s="19">
        <f t="shared" si="531"/>
        <v>0</v>
      </c>
      <c r="X254" s="92"/>
      <c r="Y254" s="20">
        <f t="shared" si="507"/>
        <v>0</v>
      </c>
      <c r="Z254" s="92"/>
      <c r="AA254" s="257"/>
      <c r="AB254" s="258"/>
      <c r="AC254" s="121"/>
      <c r="AD254" s="3"/>
      <c r="AE254" s="3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7"/>
      <c r="B255" s="17"/>
      <c r="C255" s="17"/>
      <c r="D255" s="17"/>
      <c r="E255" s="13"/>
      <c r="F255" s="14"/>
      <c r="G255" s="14"/>
      <c r="H255" s="14" t="s">
        <v>14</v>
      </c>
      <c r="I255" s="233"/>
      <c r="J255" s="237" t="s">
        <v>437</v>
      </c>
      <c r="K255" s="92"/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92"/>
      <c r="Y255" s="15">
        <f t="shared" si="507"/>
        <v>0</v>
      </c>
      <c r="Z255" s="92"/>
      <c r="AA255" s="256">
        <f>IFERROR($Y256/$Y$288, 0)</f>
        <v>0</v>
      </c>
      <c r="AB255" s="239">
        <f>IFERROR($Y256/$Y$398, 0)</f>
        <v>0</v>
      </c>
      <c r="AC255" s="121"/>
      <c r="AD255" s="3"/>
      <c r="AE255" s="3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7">
        <v>100</v>
      </c>
      <c r="B256" s="17">
        <v>100</v>
      </c>
      <c r="C256" s="17">
        <v>100</v>
      </c>
      <c r="D256" s="17">
        <v>200</v>
      </c>
      <c r="E256" s="14" t="s">
        <v>20</v>
      </c>
      <c r="F256" s="259"/>
      <c r="G256" s="257"/>
      <c r="H256" s="14" t="s">
        <v>15</v>
      </c>
      <c r="I256" s="233"/>
      <c r="J256" s="237"/>
      <c r="K256" s="92"/>
      <c r="L256" s="19">
        <f t="shared" ref="L256" si="532">$A256*L255</f>
        <v>0</v>
      </c>
      <c r="M256" s="19">
        <f t="shared" ref="M256:R256" si="533">$B256*M255</f>
        <v>0</v>
      </c>
      <c r="N256" s="19">
        <f t="shared" si="533"/>
        <v>0</v>
      </c>
      <c r="O256" s="19">
        <f t="shared" ref="O256:P256" si="534">$B256*O255</f>
        <v>0</v>
      </c>
      <c r="P256" s="19">
        <f t="shared" si="534"/>
        <v>0</v>
      </c>
      <c r="Q256" s="19">
        <f t="shared" ref="Q256" si="535">$B256*Q255</f>
        <v>0</v>
      </c>
      <c r="R256" s="19">
        <f t="shared" si="533"/>
        <v>0</v>
      </c>
      <c r="S256" s="19">
        <f t="shared" ref="S256:U256" si="536">$C256*S255</f>
        <v>0</v>
      </c>
      <c r="T256" s="19">
        <f t="shared" si="536"/>
        <v>0</v>
      </c>
      <c r="U256" s="19">
        <f t="shared" si="536"/>
        <v>0</v>
      </c>
      <c r="V256" s="19">
        <f t="shared" ref="V256:W256" si="537">$D256*V255</f>
        <v>0</v>
      </c>
      <c r="W256" s="19">
        <f t="shared" si="537"/>
        <v>0</v>
      </c>
      <c r="X256" s="92"/>
      <c r="Y256" s="20">
        <f t="shared" si="507"/>
        <v>0</v>
      </c>
      <c r="Z256" s="92"/>
      <c r="AA256" s="257"/>
      <c r="AB256" s="258"/>
      <c r="AC256" s="121"/>
      <c r="AD256" s="3"/>
      <c r="AE256" s="3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7"/>
      <c r="B257" s="17"/>
      <c r="C257" s="17"/>
      <c r="D257" s="17"/>
      <c r="E257" s="18"/>
      <c r="F257" s="14"/>
      <c r="G257" s="14"/>
      <c r="H257" s="14" t="s">
        <v>14</v>
      </c>
      <c r="I257" s="233"/>
      <c r="J257" s="237" t="s">
        <v>437</v>
      </c>
      <c r="K257" s="92"/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92"/>
      <c r="Y257" s="15">
        <f t="shared" si="507"/>
        <v>0</v>
      </c>
      <c r="Z257" s="92"/>
      <c r="AA257" s="256">
        <f>IFERROR($Y258/$Y$288, 0)</f>
        <v>0</v>
      </c>
      <c r="AB257" s="239">
        <f>IFERROR($Y258/$Y$398, 0)</f>
        <v>0</v>
      </c>
      <c r="AC257" s="121"/>
      <c r="AD257" s="3"/>
      <c r="AE257" s="3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7">
        <v>100</v>
      </c>
      <c r="B258" s="17">
        <v>100</v>
      </c>
      <c r="C258" s="17">
        <v>100</v>
      </c>
      <c r="D258" s="17">
        <v>200</v>
      </c>
      <c r="E258" s="14" t="s">
        <v>21</v>
      </c>
      <c r="F258" s="259"/>
      <c r="G258" s="257"/>
      <c r="H258" s="14" t="s">
        <v>15</v>
      </c>
      <c r="I258" s="233"/>
      <c r="J258" s="237"/>
      <c r="K258" s="92"/>
      <c r="L258" s="19">
        <f t="shared" ref="L258" si="538">$A258*L257</f>
        <v>0</v>
      </c>
      <c r="M258" s="19">
        <f t="shared" ref="M258:R258" si="539">$B258*M257</f>
        <v>0</v>
      </c>
      <c r="N258" s="19">
        <f t="shared" si="539"/>
        <v>0</v>
      </c>
      <c r="O258" s="19">
        <f t="shared" ref="O258:P258" si="540">$B258*O257</f>
        <v>0</v>
      </c>
      <c r="P258" s="19">
        <f t="shared" si="540"/>
        <v>0</v>
      </c>
      <c r="Q258" s="19">
        <f t="shared" ref="Q258" si="541">$B258*Q257</f>
        <v>0</v>
      </c>
      <c r="R258" s="19">
        <f t="shared" si="539"/>
        <v>0</v>
      </c>
      <c r="S258" s="19">
        <f t="shared" ref="S258:U258" si="542">$C258*S257</f>
        <v>0</v>
      </c>
      <c r="T258" s="19">
        <f t="shared" si="542"/>
        <v>0</v>
      </c>
      <c r="U258" s="19">
        <f t="shared" si="542"/>
        <v>0</v>
      </c>
      <c r="V258" s="19">
        <f t="shared" ref="V258:W258" si="543">$D258*V257</f>
        <v>0</v>
      </c>
      <c r="W258" s="19">
        <f t="shared" si="543"/>
        <v>0</v>
      </c>
      <c r="X258" s="92"/>
      <c r="Y258" s="20">
        <f t="shared" si="507"/>
        <v>0</v>
      </c>
      <c r="Z258" s="92"/>
      <c r="AA258" s="257"/>
      <c r="AB258" s="258"/>
      <c r="AC258" s="121"/>
      <c r="AD258" s="3"/>
      <c r="AE258" s="3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7"/>
      <c r="D259" s="17"/>
      <c r="E259" s="14"/>
      <c r="F259" s="22"/>
      <c r="G259" s="22"/>
      <c r="H259" s="14"/>
      <c r="I259" s="126"/>
      <c r="J259" s="126"/>
      <c r="K259" s="92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92"/>
      <c r="Y259" s="20"/>
      <c r="Z259" s="92"/>
      <c r="AA259" s="124"/>
      <c r="AB259" s="125"/>
      <c r="AC259" s="121"/>
      <c r="AD259" s="3"/>
      <c r="AE259" s="3"/>
      <c r="AF259" s="1"/>
      <c r="AG259" s="1"/>
      <c r="AH259" s="1"/>
      <c r="AI259" s="1"/>
      <c r="AJ259" s="1"/>
      <c r="AK259" s="1"/>
      <c r="AL259" s="1"/>
    </row>
    <row r="260" spans="1:38" ht="27.6">
      <c r="A260" s="48" t="s">
        <v>72</v>
      </c>
      <c r="B260" s="48" t="s">
        <v>73</v>
      </c>
      <c r="C260" s="48" t="s">
        <v>74</v>
      </c>
      <c r="D260" s="48" t="s">
        <v>75</v>
      </c>
      <c r="E260" s="4"/>
      <c r="F260" s="49"/>
      <c r="G260" s="49"/>
      <c r="H260" s="4"/>
      <c r="I260" s="128"/>
      <c r="J260" s="128"/>
      <c r="K260" s="129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129"/>
      <c r="Y260" s="51"/>
      <c r="Z260" s="129"/>
      <c r="AA260" s="52"/>
      <c r="AB260" s="53"/>
      <c r="AC260" s="54"/>
      <c r="AD260" s="7"/>
      <c r="AE260" s="7"/>
      <c r="AF260" s="8"/>
      <c r="AG260" s="8"/>
      <c r="AH260" s="8"/>
      <c r="AI260" s="8"/>
      <c r="AJ260" s="8"/>
      <c r="AK260" s="8"/>
      <c r="AL260" s="8"/>
    </row>
    <row r="261" spans="1:38" ht="15.75" customHeight="1">
      <c r="A261" s="1"/>
      <c r="B261" s="1"/>
      <c r="C261" s="17"/>
      <c r="D261" s="17"/>
      <c r="E261" s="13"/>
      <c r="F261" s="14"/>
      <c r="G261" s="14"/>
      <c r="H261" s="14" t="s">
        <v>76</v>
      </c>
      <c r="I261" s="233"/>
      <c r="J261" s="237" t="s">
        <v>437</v>
      </c>
      <c r="K261" s="92"/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92"/>
      <c r="Y261" s="15">
        <f>SUM(L261:W261)</f>
        <v>0</v>
      </c>
      <c r="Z261" s="92"/>
      <c r="AA261" s="256">
        <f>IFERROR($Y262/$Y$288, 0)</f>
        <v>0</v>
      </c>
      <c r="AB261" s="239">
        <f>IFERROR($Y262/$Y$398, 0)</f>
        <v>0</v>
      </c>
      <c r="AC261" s="16"/>
      <c r="AD261" s="3"/>
      <c r="AE261" s="3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7">
        <v>100</v>
      </c>
      <c r="B262" s="17">
        <v>100</v>
      </c>
      <c r="C262" s="17">
        <v>100</v>
      </c>
      <c r="D262" s="17">
        <v>200</v>
      </c>
      <c r="E262" s="14" t="s">
        <v>83</v>
      </c>
      <c r="F262" s="259"/>
      <c r="G262" s="257"/>
      <c r="H262" s="14" t="s">
        <v>15</v>
      </c>
      <c r="I262" s="233"/>
      <c r="J262" s="237"/>
      <c r="K262" s="92"/>
      <c r="L262" s="19">
        <f t="shared" ref="L262" si="544">$A262*L261</f>
        <v>0</v>
      </c>
      <c r="M262" s="19">
        <f t="shared" ref="M262:R262" si="545">$B262*M261</f>
        <v>0</v>
      </c>
      <c r="N262" s="19">
        <f t="shared" si="545"/>
        <v>0</v>
      </c>
      <c r="O262" s="19">
        <f t="shared" ref="O262:P262" si="546">$B262*O261</f>
        <v>0</v>
      </c>
      <c r="P262" s="19">
        <f t="shared" si="546"/>
        <v>0</v>
      </c>
      <c r="Q262" s="19">
        <f t="shared" ref="Q262" si="547">$B262*Q261</f>
        <v>0</v>
      </c>
      <c r="R262" s="19">
        <f t="shared" si="545"/>
        <v>0</v>
      </c>
      <c r="S262" s="19">
        <f t="shared" ref="S262:U262" si="548">$C262*S261</f>
        <v>0</v>
      </c>
      <c r="T262" s="19">
        <f t="shared" si="548"/>
        <v>0</v>
      </c>
      <c r="U262" s="19">
        <f t="shared" si="548"/>
        <v>0</v>
      </c>
      <c r="V262" s="19">
        <f t="shared" ref="V262:W262" si="549">$D262*V261</f>
        <v>0</v>
      </c>
      <c r="W262" s="19">
        <f t="shared" si="549"/>
        <v>0</v>
      </c>
      <c r="X262" s="92"/>
      <c r="Y262" s="20">
        <f>SUM(L262:W262)</f>
        <v>0</v>
      </c>
      <c r="Z262" s="92"/>
      <c r="AA262" s="257"/>
      <c r="AB262" s="258"/>
      <c r="AC262" s="21"/>
      <c r="AD262" s="3"/>
      <c r="AE262" s="3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7"/>
      <c r="B263" s="17"/>
      <c r="C263" s="17"/>
      <c r="D263" s="17"/>
      <c r="E263" s="14"/>
      <c r="F263" s="22"/>
      <c r="G263" s="22"/>
      <c r="H263" s="14"/>
      <c r="I263" s="126"/>
      <c r="J263" s="126"/>
      <c r="K263" s="92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92"/>
      <c r="Y263" s="20"/>
      <c r="Z263" s="92"/>
      <c r="AA263" s="157"/>
      <c r="AB263" s="158"/>
      <c r="AC263" s="121"/>
      <c r="AD263" s="3"/>
      <c r="AE263" s="3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7"/>
      <c r="B264" s="17"/>
      <c r="C264" s="17"/>
      <c r="D264" s="17"/>
      <c r="E264" s="25" t="s">
        <v>84</v>
      </c>
      <c r="F264" s="31"/>
      <c r="G264" s="28"/>
      <c r="H264" s="127" t="s">
        <v>418</v>
      </c>
      <c r="I264" s="126"/>
      <c r="J264" s="126"/>
      <c r="K264" s="92"/>
      <c r="L264" s="26">
        <f t="shared" ref="L264:W264" si="550">SUMIF($H$246:$H$265,"$$$",L$246:L$265)</f>
        <v>0</v>
      </c>
      <c r="M264" s="26">
        <f t="shared" si="550"/>
        <v>0</v>
      </c>
      <c r="N264" s="26">
        <f t="shared" si="550"/>
        <v>0</v>
      </c>
      <c r="O264" s="26">
        <f t="shared" si="550"/>
        <v>0</v>
      </c>
      <c r="P264" s="26">
        <f t="shared" si="550"/>
        <v>0</v>
      </c>
      <c r="Q264" s="26">
        <f t="shared" si="550"/>
        <v>0</v>
      </c>
      <c r="R264" s="26">
        <f t="shared" si="550"/>
        <v>0</v>
      </c>
      <c r="S264" s="26">
        <f t="shared" si="550"/>
        <v>0</v>
      </c>
      <c r="T264" s="26">
        <f t="shared" si="550"/>
        <v>0</v>
      </c>
      <c r="U264" s="26">
        <f t="shared" si="550"/>
        <v>0</v>
      </c>
      <c r="V264" s="26">
        <f t="shared" si="550"/>
        <v>0</v>
      </c>
      <c r="W264" s="26">
        <f t="shared" si="550"/>
        <v>0</v>
      </c>
      <c r="X264" s="92"/>
      <c r="Y264" s="27">
        <f>SUM(L264:W264)</f>
        <v>0</v>
      </c>
      <c r="Z264" s="92"/>
      <c r="AA264" s="34">
        <f>IFERROR($Y264/$Y$288, 0)</f>
        <v>0</v>
      </c>
      <c r="AB264" s="29">
        <f>IFERROR($Y264/$Y$398, 0)</f>
        <v>0</v>
      </c>
      <c r="AC264" s="123"/>
      <c r="AD264" s="7"/>
      <c r="AE264" s="7"/>
      <c r="AF264" s="8"/>
      <c r="AG264" s="8"/>
      <c r="AH264" s="8"/>
      <c r="AI264" s="8"/>
      <c r="AJ264" s="8"/>
      <c r="AK264" s="8"/>
      <c r="AL264" s="8"/>
    </row>
    <row r="265" spans="1:38" ht="27.6">
      <c r="A265" s="48" t="s">
        <v>72</v>
      </c>
      <c r="B265" s="48" t="s">
        <v>73</v>
      </c>
      <c r="C265" s="48" t="s">
        <v>74</v>
      </c>
      <c r="D265" s="48" t="s">
        <v>75</v>
      </c>
      <c r="E265" s="55" t="s">
        <v>85</v>
      </c>
      <c r="F265" s="260" t="s">
        <v>86</v>
      </c>
      <c r="G265" s="257"/>
      <c r="H265" s="4"/>
      <c r="I265" s="128"/>
      <c r="J265" s="128"/>
      <c r="K265" s="129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129"/>
      <c r="Y265" s="30"/>
      <c r="Z265" s="129"/>
      <c r="AA265" s="130"/>
      <c r="AB265" s="131"/>
      <c r="AC265" s="123"/>
      <c r="AD265" s="7"/>
      <c r="AE265" s="7"/>
      <c r="AF265" s="8"/>
      <c r="AG265" s="8"/>
      <c r="AH265" s="8"/>
      <c r="AI265" s="8"/>
      <c r="AJ265" s="8"/>
      <c r="AK265" s="8"/>
      <c r="AL265" s="8"/>
    </row>
    <row r="266" spans="1:38" ht="15.75" customHeight="1">
      <c r="A266" s="1"/>
      <c r="B266" s="1"/>
      <c r="C266" s="17"/>
      <c r="D266" s="17"/>
      <c r="E266" s="13"/>
      <c r="F266" s="14"/>
      <c r="G266" s="14"/>
      <c r="H266" s="14" t="s">
        <v>76</v>
      </c>
      <c r="I266" s="233"/>
      <c r="J266" s="237" t="s">
        <v>437</v>
      </c>
      <c r="K266" s="92"/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92"/>
      <c r="Y266" s="15">
        <f t="shared" ref="Y266:Y271" si="551">SUM(L266:W266)</f>
        <v>0</v>
      </c>
      <c r="Z266" s="92"/>
      <c r="AA266" s="256">
        <f>IFERROR($Y267/$Y$288, 0)</f>
        <v>0</v>
      </c>
      <c r="AB266" s="239">
        <f>IFERROR($Y267/$Y$398, 0)</f>
        <v>0</v>
      </c>
      <c r="AC266" s="121"/>
      <c r="AD266" s="3"/>
      <c r="AE266" s="3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7">
        <v>100</v>
      </c>
      <c r="B267" s="17">
        <v>100</v>
      </c>
      <c r="C267" s="17">
        <v>100</v>
      </c>
      <c r="D267" s="17">
        <v>200</v>
      </c>
      <c r="E267" s="14" t="s">
        <v>87</v>
      </c>
      <c r="F267" s="259"/>
      <c r="G267" s="257"/>
      <c r="H267" s="14" t="s">
        <v>15</v>
      </c>
      <c r="I267" s="233"/>
      <c r="J267" s="237"/>
      <c r="K267" s="92"/>
      <c r="L267" s="19">
        <f t="shared" ref="L267" si="552">$A267*L266</f>
        <v>0</v>
      </c>
      <c r="M267" s="19">
        <f t="shared" ref="M267:R267" si="553">$B267*M266</f>
        <v>0</v>
      </c>
      <c r="N267" s="19">
        <f t="shared" si="553"/>
        <v>0</v>
      </c>
      <c r="O267" s="19">
        <f t="shared" ref="O267:P267" si="554">$B267*O266</f>
        <v>0</v>
      </c>
      <c r="P267" s="19">
        <f t="shared" si="554"/>
        <v>0</v>
      </c>
      <c r="Q267" s="19">
        <f t="shared" ref="Q267" si="555">$B267*Q266</f>
        <v>0</v>
      </c>
      <c r="R267" s="19">
        <f t="shared" si="553"/>
        <v>0</v>
      </c>
      <c r="S267" s="19">
        <f t="shared" ref="S267:U267" si="556">$C267*S266</f>
        <v>0</v>
      </c>
      <c r="T267" s="19">
        <f t="shared" si="556"/>
        <v>0</v>
      </c>
      <c r="U267" s="19">
        <f t="shared" si="556"/>
        <v>0</v>
      </c>
      <c r="V267" s="19">
        <f t="shared" ref="V267:W267" si="557">$D267*V266</f>
        <v>0</v>
      </c>
      <c r="W267" s="19">
        <f t="shared" si="557"/>
        <v>0</v>
      </c>
      <c r="X267" s="92"/>
      <c r="Y267" s="20">
        <f t="shared" si="551"/>
        <v>0</v>
      </c>
      <c r="Z267" s="92"/>
      <c r="AA267" s="257"/>
      <c r="AB267" s="258"/>
      <c r="AC267" s="121"/>
      <c r="AD267" s="3"/>
      <c r="AE267" s="3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7"/>
      <c r="B268" s="17"/>
      <c r="C268" s="17"/>
      <c r="D268" s="17"/>
      <c r="E268" s="13"/>
      <c r="F268" s="14"/>
      <c r="G268" s="14"/>
      <c r="H268" s="14" t="s">
        <v>76</v>
      </c>
      <c r="I268" s="233"/>
      <c r="J268" s="237" t="s">
        <v>437</v>
      </c>
      <c r="K268" s="92"/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92"/>
      <c r="Y268" s="15">
        <f t="shared" si="551"/>
        <v>0</v>
      </c>
      <c r="Z268" s="92"/>
      <c r="AA268" s="256">
        <f>IFERROR($Y269/$Y$288, 0)</f>
        <v>0</v>
      </c>
      <c r="AB268" s="239">
        <f>IFERROR($Y269/$Y$398, 0)</f>
        <v>0</v>
      </c>
      <c r="AC268" s="121"/>
      <c r="AD268" s="3"/>
      <c r="AE268" s="3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7">
        <v>100</v>
      </c>
      <c r="B269" s="17">
        <v>100</v>
      </c>
      <c r="C269" s="17">
        <v>100</v>
      </c>
      <c r="D269" s="17">
        <v>200</v>
      </c>
      <c r="E269" s="14" t="s">
        <v>88</v>
      </c>
      <c r="F269" s="259"/>
      <c r="G269" s="257"/>
      <c r="H269" s="14" t="s">
        <v>15</v>
      </c>
      <c r="I269" s="233"/>
      <c r="J269" s="237"/>
      <c r="K269" s="92"/>
      <c r="L269" s="19">
        <f t="shared" ref="L269" si="558">$A269*L268</f>
        <v>0</v>
      </c>
      <c r="M269" s="19">
        <f t="shared" ref="M269:R269" si="559">$B269*M268</f>
        <v>0</v>
      </c>
      <c r="N269" s="19">
        <f t="shared" si="559"/>
        <v>0</v>
      </c>
      <c r="O269" s="19">
        <f t="shared" ref="O269:P269" si="560">$B269*O268</f>
        <v>0</v>
      </c>
      <c r="P269" s="19">
        <f t="shared" si="560"/>
        <v>0</v>
      </c>
      <c r="Q269" s="19">
        <f t="shared" ref="Q269" si="561">$B269*Q268</f>
        <v>0</v>
      </c>
      <c r="R269" s="19">
        <f t="shared" si="559"/>
        <v>0</v>
      </c>
      <c r="S269" s="19">
        <f t="shared" ref="S269:U269" si="562">$C269*S268</f>
        <v>0</v>
      </c>
      <c r="T269" s="19">
        <f t="shared" si="562"/>
        <v>0</v>
      </c>
      <c r="U269" s="19">
        <f t="shared" si="562"/>
        <v>0</v>
      </c>
      <c r="V269" s="19">
        <f t="shared" ref="V269:W269" si="563">$D269*V268</f>
        <v>0</v>
      </c>
      <c r="W269" s="19">
        <f t="shared" si="563"/>
        <v>0</v>
      </c>
      <c r="X269" s="92"/>
      <c r="Y269" s="20">
        <f t="shared" si="551"/>
        <v>0</v>
      </c>
      <c r="Z269" s="92"/>
      <c r="AA269" s="257"/>
      <c r="AB269" s="258"/>
      <c r="AC269" s="121"/>
      <c r="AD269" s="3"/>
      <c r="AE269" s="3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7"/>
      <c r="B270" s="17"/>
      <c r="C270" s="17"/>
      <c r="D270" s="17"/>
      <c r="E270" s="13"/>
      <c r="F270" s="14"/>
      <c r="G270" s="14"/>
      <c r="H270" s="14" t="s">
        <v>76</v>
      </c>
      <c r="I270" s="233"/>
      <c r="J270" s="237" t="s">
        <v>437</v>
      </c>
      <c r="K270" s="92"/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92"/>
      <c r="Y270" s="15">
        <f t="shared" si="551"/>
        <v>0</v>
      </c>
      <c r="Z270" s="92"/>
      <c r="AA270" s="256">
        <f>IFERROR($Y271/$Y$288, 0)</f>
        <v>0</v>
      </c>
      <c r="AB270" s="239">
        <f>IFERROR($Y271/$Y$398, 0)</f>
        <v>0</v>
      </c>
      <c r="AC270" s="121"/>
      <c r="AD270" s="3"/>
      <c r="AE270" s="3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7">
        <v>100</v>
      </c>
      <c r="B271" s="17">
        <v>100</v>
      </c>
      <c r="C271" s="17">
        <v>100</v>
      </c>
      <c r="D271" s="17">
        <v>200</v>
      </c>
      <c r="E271" s="14" t="s">
        <v>89</v>
      </c>
      <c r="F271" s="259"/>
      <c r="G271" s="257"/>
      <c r="H271" s="14" t="s">
        <v>15</v>
      </c>
      <c r="I271" s="233"/>
      <c r="J271" s="237"/>
      <c r="K271" s="92"/>
      <c r="L271" s="19">
        <f t="shared" ref="L271" si="564">$A271*L270</f>
        <v>0</v>
      </c>
      <c r="M271" s="19">
        <f t="shared" ref="M271:R271" si="565">$B271*M270</f>
        <v>0</v>
      </c>
      <c r="N271" s="19">
        <f t="shared" si="565"/>
        <v>0</v>
      </c>
      <c r="O271" s="19">
        <f t="shared" ref="O271:P271" si="566">$B271*O270</f>
        <v>0</v>
      </c>
      <c r="P271" s="19">
        <f t="shared" si="566"/>
        <v>0</v>
      </c>
      <c r="Q271" s="19">
        <f t="shared" ref="Q271" si="567">$B271*Q270</f>
        <v>0</v>
      </c>
      <c r="R271" s="19">
        <f t="shared" si="565"/>
        <v>0</v>
      </c>
      <c r="S271" s="19">
        <f t="shared" ref="S271:U271" si="568">$C271*S270</f>
        <v>0</v>
      </c>
      <c r="T271" s="19">
        <f t="shared" si="568"/>
        <v>0</v>
      </c>
      <c r="U271" s="19">
        <f t="shared" si="568"/>
        <v>0</v>
      </c>
      <c r="V271" s="19">
        <f t="shared" ref="V271:W271" si="569">$D271*V270</f>
        <v>0</v>
      </c>
      <c r="W271" s="19">
        <f t="shared" si="569"/>
        <v>0</v>
      </c>
      <c r="X271" s="92"/>
      <c r="Y271" s="20">
        <f t="shared" si="551"/>
        <v>0</v>
      </c>
      <c r="Z271" s="92"/>
      <c r="AA271" s="257"/>
      <c r="AB271" s="258"/>
      <c r="AC271" s="121"/>
      <c r="AD271" s="3"/>
      <c r="AE271" s="3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7"/>
      <c r="B272" s="17"/>
      <c r="C272" s="17"/>
      <c r="D272" s="17"/>
      <c r="E272" s="14"/>
      <c r="F272" s="22"/>
      <c r="G272" s="22"/>
      <c r="H272" s="14"/>
      <c r="I272" s="126"/>
      <c r="J272" s="126"/>
      <c r="K272" s="92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92"/>
      <c r="Y272" s="20"/>
      <c r="Z272" s="92"/>
      <c r="AA272" s="157"/>
      <c r="AB272" s="158"/>
      <c r="AC272" s="121"/>
      <c r="AD272" s="3"/>
      <c r="AE272" s="3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7"/>
      <c r="B273" s="17"/>
      <c r="C273" s="17"/>
      <c r="D273" s="17"/>
      <c r="E273" s="25" t="s">
        <v>90</v>
      </c>
      <c r="F273" s="31"/>
      <c r="G273" s="28"/>
      <c r="H273" s="127" t="s">
        <v>418</v>
      </c>
      <c r="I273" s="126"/>
      <c r="J273" s="126"/>
      <c r="K273" s="92"/>
      <c r="L273" s="26">
        <f t="shared" ref="L273:W273" si="570">SUMIF($H$265:$H$274,"$$$",L$265:L$274)</f>
        <v>0</v>
      </c>
      <c r="M273" s="26">
        <f t="shared" si="570"/>
        <v>0</v>
      </c>
      <c r="N273" s="26">
        <f t="shared" si="570"/>
        <v>0</v>
      </c>
      <c r="O273" s="26">
        <f t="shared" si="570"/>
        <v>0</v>
      </c>
      <c r="P273" s="26">
        <f t="shared" si="570"/>
        <v>0</v>
      </c>
      <c r="Q273" s="26">
        <f t="shared" si="570"/>
        <v>0</v>
      </c>
      <c r="R273" s="26">
        <f t="shared" si="570"/>
        <v>0</v>
      </c>
      <c r="S273" s="26">
        <f t="shared" si="570"/>
        <v>0</v>
      </c>
      <c r="T273" s="26">
        <f t="shared" si="570"/>
        <v>0</v>
      </c>
      <c r="U273" s="26">
        <f t="shared" si="570"/>
        <v>0</v>
      </c>
      <c r="V273" s="26">
        <f t="shared" si="570"/>
        <v>0</v>
      </c>
      <c r="W273" s="26">
        <f t="shared" si="570"/>
        <v>0</v>
      </c>
      <c r="X273" s="92"/>
      <c r="Y273" s="27">
        <f>SUM(L273:W273)</f>
        <v>0</v>
      </c>
      <c r="Z273" s="92"/>
      <c r="AA273" s="34">
        <f>IFERROR($Y273/$Y$288, 0)</f>
        <v>0</v>
      </c>
      <c r="AB273" s="29">
        <f>IFERROR($Y273/$Y$398, 0)</f>
        <v>0</v>
      </c>
      <c r="AC273" s="123"/>
      <c r="AD273" s="7"/>
      <c r="AE273" s="7"/>
      <c r="AF273" s="8"/>
      <c r="AG273" s="8"/>
      <c r="AH273" s="8"/>
      <c r="AI273" s="8"/>
      <c r="AJ273" s="8"/>
      <c r="AK273" s="8"/>
      <c r="AL273" s="8"/>
    </row>
    <row r="274" spans="1:38" ht="27.6">
      <c r="A274" s="5" t="s">
        <v>53</v>
      </c>
      <c r="B274" s="5"/>
      <c r="C274" s="5"/>
      <c r="D274" s="5"/>
      <c r="E274" s="5" t="s">
        <v>91</v>
      </c>
      <c r="F274" s="5" t="s">
        <v>55</v>
      </c>
      <c r="G274" s="5" t="s">
        <v>56</v>
      </c>
      <c r="H274" s="4"/>
      <c r="I274" s="128"/>
      <c r="J274" s="128"/>
      <c r="K274" s="129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129"/>
      <c r="Y274" s="30"/>
      <c r="Z274" s="129"/>
      <c r="AA274" s="130"/>
      <c r="AB274" s="131"/>
      <c r="AC274" s="123"/>
      <c r="AD274" s="7"/>
      <c r="AE274" s="7"/>
      <c r="AF274" s="8"/>
      <c r="AG274" s="8"/>
      <c r="AH274" s="8"/>
      <c r="AI274" s="8"/>
      <c r="AJ274" s="8"/>
      <c r="AK274" s="8"/>
      <c r="AL274" s="8"/>
    </row>
    <row r="275" spans="1:38" ht="15.75" customHeight="1">
      <c r="A275" s="17"/>
      <c r="B275" s="17"/>
      <c r="C275" s="17"/>
      <c r="D275" s="17"/>
      <c r="E275" s="18"/>
      <c r="F275" s="18"/>
      <c r="G275" s="18"/>
      <c r="H275" s="14" t="s">
        <v>58</v>
      </c>
      <c r="I275" s="233"/>
      <c r="J275" s="237" t="s">
        <v>437</v>
      </c>
      <c r="K275" s="92"/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92"/>
      <c r="Y275" s="15">
        <f t="shared" ref="Y275:Y284" si="571">SUM(L275:W275)</f>
        <v>0</v>
      </c>
      <c r="Z275" s="92"/>
      <c r="AA275" s="256">
        <f>IFERROR($Y276/$Y$288, 0)</f>
        <v>0</v>
      </c>
      <c r="AB275" s="239">
        <f>IFERROR($Y276/$Y$398, 0)</f>
        <v>0</v>
      </c>
      <c r="AC275" s="121"/>
      <c r="AD275" s="3"/>
      <c r="AE275" s="3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7">
        <v>100</v>
      </c>
      <c r="B276" s="17"/>
      <c r="C276" s="17"/>
      <c r="D276" s="17"/>
      <c r="E276" s="14"/>
      <c r="F276" s="37"/>
      <c r="G276" s="37"/>
      <c r="H276" s="14" t="s">
        <v>15</v>
      </c>
      <c r="I276" s="233"/>
      <c r="J276" s="237"/>
      <c r="K276" s="92"/>
      <c r="L276" s="19">
        <f t="shared" ref="L276:W276" si="572">$A276*L275</f>
        <v>0</v>
      </c>
      <c r="M276" s="19">
        <f t="shared" si="572"/>
        <v>0</v>
      </c>
      <c r="N276" s="19">
        <f t="shared" si="572"/>
        <v>0</v>
      </c>
      <c r="O276" s="19">
        <f t="shared" ref="O276:P276" si="573">$A276*O275</f>
        <v>0</v>
      </c>
      <c r="P276" s="19">
        <f t="shared" si="573"/>
        <v>0</v>
      </c>
      <c r="Q276" s="19">
        <f t="shared" ref="Q276" si="574">$A276*Q275</f>
        <v>0</v>
      </c>
      <c r="R276" s="19">
        <f t="shared" si="572"/>
        <v>0</v>
      </c>
      <c r="S276" s="19">
        <f t="shared" si="572"/>
        <v>0</v>
      </c>
      <c r="T276" s="19">
        <f t="shared" si="572"/>
        <v>0</v>
      </c>
      <c r="U276" s="19">
        <f t="shared" si="572"/>
        <v>0</v>
      </c>
      <c r="V276" s="19">
        <f t="shared" si="572"/>
        <v>0</v>
      </c>
      <c r="W276" s="19">
        <f t="shared" si="572"/>
        <v>0</v>
      </c>
      <c r="X276" s="92"/>
      <c r="Y276" s="20">
        <f t="shared" si="571"/>
        <v>0</v>
      </c>
      <c r="Z276" s="92"/>
      <c r="AA276" s="257"/>
      <c r="AB276" s="258"/>
      <c r="AC276" s="121"/>
      <c r="AD276" s="3"/>
      <c r="AE276" s="3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7"/>
      <c r="B277" s="17"/>
      <c r="C277" s="17"/>
      <c r="D277" s="17"/>
      <c r="E277" s="18"/>
      <c r="F277" s="18"/>
      <c r="G277" s="18"/>
      <c r="H277" s="14" t="s">
        <v>58</v>
      </c>
      <c r="I277" s="233"/>
      <c r="J277" s="237" t="s">
        <v>437</v>
      </c>
      <c r="K277" s="92"/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92"/>
      <c r="Y277" s="15">
        <f t="shared" si="571"/>
        <v>0</v>
      </c>
      <c r="Z277" s="92"/>
      <c r="AA277" s="256">
        <f>IFERROR($Y278/$Y$288, 0)</f>
        <v>0</v>
      </c>
      <c r="AB277" s="239">
        <f>IFERROR($Y278/$Y$398, 0)</f>
        <v>0</v>
      </c>
      <c r="AC277" s="121"/>
      <c r="AD277" s="3"/>
      <c r="AE277" s="3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7">
        <v>100</v>
      </c>
      <c r="B278" s="17"/>
      <c r="C278" s="17"/>
      <c r="D278" s="17"/>
      <c r="E278" s="14"/>
      <c r="F278" s="37"/>
      <c r="G278" s="37"/>
      <c r="H278" s="14" t="s">
        <v>15</v>
      </c>
      <c r="I278" s="233"/>
      <c r="J278" s="237"/>
      <c r="K278" s="92"/>
      <c r="L278" s="19">
        <f t="shared" ref="L278:W278" si="575">$A278*L277</f>
        <v>0</v>
      </c>
      <c r="M278" s="19">
        <f t="shared" si="575"/>
        <v>0</v>
      </c>
      <c r="N278" s="19">
        <f t="shared" si="575"/>
        <v>0</v>
      </c>
      <c r="O278" s="19">
        <f t="shared" ref="O278:P278" si="576">$A278*O277</f>
        <v>0</v>
      </c>
      <c r="P278" s="19">
        <f t="shared" si="576"/>
        <v>0</v>
      </c>
      <c r="Q278" s="19">
        <f t="shared" ref="Q278" si="577">$A278*Q277</f>
        <v>0</v>
      </c>
      <c r="R278" s="19">
        <f t="shared" si="575"/>
        <v>0</v>
      </c>
      <c r="S278" s="19">
        <f t="shared" si="575"/>
        <v>0</v>
      </c>
      <c r="T278" s="19">
        <f t="shared" si="575"/>
        <v>0</v>
      </c>
      <c r="U278" s="19">
        <f t="shared" si="575"/>
        <v>0</v>
      </c>
      <c r="V278" s="19">
        <f t="shared" si="575"/>
        <v>0</v>
      </c>
      <c r="W278" s="19">
        <f t="shared" si="575"/>
        <v>0</v>
      </c>
      <c r="X278" s="92"/>
      <c r="Y278" s="20">
        <f t="shared" si="571"/>
        <v>0</v>
      </c>
      <c r="Z278" s="92"/>
      <c r="AA278" s="257"/>
      <c r="AB278" s="258"/>
      <c r="AC278" s="121"/>
      <c r="AD278" s="3"/>
      <c r="AE278" s="3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7"/>
      <c r="B279" s="17"/>
      <c r="C279" s="17"/>
      <c r="D279" s="17"/>
      <c r="E279" s="18"/>
      <c r="F279" s="18"/>
      <c r="G279" s="18"/>
      <c r="H279" s="14" t="s">
        <v>58</v>
      </c>
      <c r="I279" s="233"/>
      <c r="J279" s="237" t="s">
        <v>437</v>
      </c>
      <c r="K279" s="92"/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92"/>
      <c r="Y279" s="15">
        <f t="shared" si="571"/>
        <v>0</v>
      </c>
      <c r="Z279" s="92"/>
      <c r="AA279" s="256">
        <f>IFERROR($Y280/$Y$288, 0)</f>
        <v>0</v>
      </c>
      <c r="AB279" s="239">
        <f>IFERROR($Y280/$Y$398, 0)</f>
        <v>0</v>
      </c>
      <c r="AC279" s="121"/>
      <c r="AD279" s="3"/>
      <c r="AE279" s="3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7">
        <v>100</v>
      </c>
      <c r="B280" s="17"/>
      <c r="C280" s="17"/>
      <c r="D280" s="17"/>
      <c r="E280" s="14"/>
      <c r="F280" s="37"/>
      <c r="G280" s="37"/>
      <c r="H280" s="14" t="s">
        <v>15</v>
      </c>
      <c r="I280" s="233"/>
      <c r="J280" s="237"/>
      <c r="K280" s="92"/>
      <c r="L280" s="19">
        <f t="shared" ref="L280:W280" si="578">$A280*L279</f>
        <v>0</v>
      </c>
      <c r="M280" s="19">
        <f t="shared" si="578"/>
        <v>0</v>
      </c>
      <c r="N280" s="19">
        <f t="shared" si="578"/>
        <v>0</v>
      </c>
      <c r="O280" s="19">
        <f t="shared" ref="O280:P280" si="579">$A280*O279</f>
        <v>0</v>
      </c>
      <c r="P280" s="19">
        <f t="shared" si="579"/>
        <v>0</v>
      </c>
      <c r="Q280" s="19">
        <f t="shared" ref="Q280" si="580">$A280*Q279</f>
        <v>0</v>
      </c>
      <c r="R280" s="19">
        <f t="shared" si="578"/>
        <v>0</v>
      </c>
      <c r="S280" s="19">
        <f t="shared" si="578"/>
        <v>0</v>
      </c>
      <c r="T280" s="19">
        <f t="shared" si="578"/>
        <v>0</v>
      </c>
      <c r="U280" s="19">
        <f t="shared" si="578"/>
        <v>0</v>
      </c>
      <c r="V280" s="19">
        <f t="shared" si="578"/>
        <v>0</v>
      </c>
      <c r="W280" s="19">
        <f t="shared" si="578"/>
        <v>0</v>
      </c>
      <c r="X280" s="92"/>
      <c r="Y280" s="20">
        <f t="shared" si="571"/>
        <v>0</v>
      </c>
      <c r="Z280" s="92"/>
      <c r="AA280" s="257"/>
      <c r="AB280" s="258"/>
      <c r="AC280" s="121"/>
      <c r="AD280" s="3"/>
      <c r="AE280" s="3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7"/>
      <c r="B281" s="17"/>
      <c r="C281" s="17"/>
      <c r="D281" s="17"/>
      <c r="E281" s="18"/>
      <c r="F281" s="18"/>
      <c r="G281" s="18"/>
      <c r="H281" s="14" t="s">
        <v>58</v>
      </c>
      <c r="I281" s="233"/>
      <c r="J281" s="237" t="s">
        <v>437</v>
      </c>
      <c r="K281" s="92"/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92"/>
      <c r="Y281" s="15">
        <f t="shared" si="571"/>
        <v>0</v>
      </c>
      <c r="Z281" s="92"/>
      <c r="AA281" s="256">
        <f>IFERROR($Y282/$Y$288, 0)</f>
        <v>0</v>
      </c>
      <c r="AB281" s="239">
        <f>IFERROR($Y282/$Y$398, 0)</f>
        <v>0</v>
      </c>
      <c r="AC281" s="121"/>
      <c r="AD281" s="3"/>
      <c r="AE281" s="3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7">
        <v>100</v>
      </c>
      <c r="B282" s="17"/>
      <c r="C282" s="17"/>
      <c r="D282" s="17"/>
      <c r="E282" s="14"/>
      <c r="F282" s="37"/>
      <c r="G282" s="37"/>
      <c r="H282" s="14" t="s">
        <v>15</v>
      </c>
      <c r="I282" s="233"/>
      <c r="J282" s="237"/>
      <c r="K282" s="92"/>
      <c r="L282" s="19">
        <f t="shared" ref="L282:W282" si="581">$A282*L281</f>
        <v>0</v>
      </c>
      <c r="M282" s="19">
        <f t="shared" si="581"/>
        <v>0</v>
      </c>
      <c r="N282" s="19">
        <f t="shared" si="581"/>
        <v>0</v>
      </c>
      <c r="O282" s="19">
        <f t="shared" ref="O282:P282" si="582">$A282*O281</f>
        <v>0</v>
      </c>
      <c r="P282" s="19">
        <f t="shared" si="582"/>
        <v>0</v>
      </c>
      <c r="Q282" s="19">
        <f t="shared" ref="Q282" si="583">$A282*Q281</f>
        <v>0</v>
      </c>
      <c r="R282" s="19">
        <f t="shared" si="581"/>
        <v>0</v>
      </c>
      <c r="S282" s="19">
        <f t="shared" si="581"/>
        <v>0</v>
      </c>
      <c r="T282" s="19">
        <f t="shared" si="581"/>
        <v>0</v>
      </c>
      <c r="U282" s="19">
        <f t="shared" si="581"/>
        <v>0</v>
      </c>
      <c r="V282" s="19">
        <f t="shared" si="581"/>
        <v>0</v>
      </c>
      <c r="W282" s="19">
        <f t="shared" si="581"/>
        <v>0</v>
      </c>
      <c r="X282" s="92"/>
      <c r="Y282" s="20">
        <f t="shared" si="571"/>
        <v>0</v>
      </c>
      <c r="Z282" s="92"/>
      <c r="AA282" s="257"/>
      <c r="AB282" s="258"/>
      <c r="AC282" s="121"/>
      <c r="AD282" s="3"/>
      <c r="AE282" s="3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7"/>
      <c r="B283" s="17"/>
      <c r="C283" s="17"/>
      <c r="D283" s="17"/>
      <c r="E283" s="18"/>
      <c r="F283" s="18"/>
      <c r="G283" s="18"/>
      <c r="H283" s="14" t="s">
        <v>58</v>
      </c>
      <c r="I283" s="233"/>
      <c r="J283" s="237" t="s">
        <v>437</v>
      </c>
      <c r="K283" s="92"/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92"/>
      <c r="Y283" s="15">
        <f t="shared" si="571"/>
        <v>0</v>
      </c>
      <c r="Z283" s="92"/>
      <c r="AA283" s="256">
        <f>IFERROR($Y284/$Y$288, 0)</f>
        <v>0</v>
      </c>
      <c r="AB283" s="239">
        <f>IFERROR($Y284/$Y$398, 0)</f>
        <v>0</v>
      </c>
      <c r="AC283" s="121"/>
      <c r="AD283" s="3"/>
      <c r="AE283" s="3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7">
        <v>100</v>
      </c>
      <c r="B284" s="17"/>
      <c r="C284" s="17"/>
      <c r="D284" s="17"/>
      <c r="E284" s="14"/>
      <c r="F284" s="37"/>
      <c r="G284" s="37"/>
      <c r="H284" s="14" t="s">
        <v>15</v>
      </c>
      <c r="I284" s="233"/>
      <c r="J284" s="237"/>
      <c r="K284" s="92"/>
      <c r="L284" s="19">
        <f t="shared" ref="L284:W284" si="584">$A284*L283</f>
        <v>0</v>
      </c>
      <c r="M284" s="19">
        <f t="shared" si="584"/>
        <v>0</v>
      </c>
      <c r="N284" s="19">
        <f t="shared" si="584"/>
        <v>0</v>
      </c>
      <c r="O284" s="19">
        <f t="shared" ref="O284:P284" si="585">$A284*O283</f>
        <v>0</v>
      </c>
      <c r="P284" s="19">
        <f t="shared" si="585"/>
        <v>0</v>
      </c>
      <c r="Q284" s="19">
        <f t="shared" ref="Q284" si="586">$A284*Q283</f>
        <v>0</v>
      </c>
      <c r="R284" s="19">
        <f t="shared" si="584"/>
        <v>0</v>
      </c>
      <c r="S284" s="19">
        <f t="shared" si="584"/>
        <v>0</v>
      </c>
      <c r="T284" s="19">
        <f t="shared" si="584"/>
        <v>0</v>
      </c>
      <c r="U284" s="19">
        <f t="shared" si="584"/>
        <v>0</v>
      </c>
      <c r="V284" s="19">
        <f t="shared" si="584"/>
        <v>0</v>
      </c>
      <c r="W284" s="19">
        <f t="shared" si="584"/>
        <v>0</v>
      </c>
      <c r="X284" s="92"/>
      <c r="Y284" s="20">
        <f t="shared" si="571"/>
        <v>0</v>
      </c>
      <c r="Z284" s="92"/>
      <c r="AA284" s="257"/>
      <c r="AB284" s="258"/>
      <c r="AC284" s="121"/>
      <c r="AD284" s="3"/>
      <c r="AE284" s="3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7"/>
      <c r="B285" s="17"/>
      <c r="C285" s="17"/>
      <c r="D285" s="17"/>
      <c r="E285" s="14"/>
      <c r="F285" s="37"/>
      <c r="G285" s="37"/>
      <c r="H285" s="14"/>
      <c r="I285" s="126"/>
      <c r="J285" s="126"/>
      <c r="K285" s="92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92"/>
      <c r="Y285" s="20"/>
      <c r="Z285" s="92"/>
      <c r="AA285" s="157"/>
      <c r="AB285" s="158"/>
      <c r="AC285" s="121"/>
      <c r="AD285" s="3"/>
      <c r="AE285" s="3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7"/>
      <c r="B286" s="17"/>
      <c r="C286" s="17"/>
      <c r="D286" s="17"/>
      <c r="E286" s="25" t="s">
        <v>419</v>
      </c>
      <c r="F286" s="31"/>
      <c r="G286" s="28"/>
      <c r="H286" s="127" t="s">
        <v>418</v>
      </c>
      <c r="I286" s="126"/>
      <c r="J286" s="126"/>
      <c r="K286" s="92"/>
      <c r="L286" s="26">
        <f t="shared" ref="L286:W286" si="587">SUMIF($H$274:$H$287,"$$$",L$274:L$287)</f>
        <v>0</v>
      </c>
      <c r="M286" s="26">
        <f t="shared" si="587"/>
        <v>0</v>
      </c>
      <c r="N286" s="26">
        <f t="shared" si="587"/>
        <v>0</v>
      </c>
      <c r="O286" s="26">
        <f t="shared" si="587"/>
        <v>0</v>
      </c>
      <c r="P286" s="26">
        <f t="shared" si="587"/>
        <v>0</v>
      </c>
      <c r="Q286" s="26">
        <f t="shared" si="587"/>
        <v>0</v>
      </c>
      <c r="R286" s="26">
        <f t="shared" si="587"/>
        <v>0</v>
      </c>
      <c r="S286" s="26">
        <f t="shared" si="587"/>
        <v>0</v>
      </c>
      <c r="T286" s="26">
        <f t="shared" si="587"/>
        <v>0</v>
      </c>
      <c r="U286" s="26">
        <f t="shared" si="587"/>
        <v>0</v>
      </c>
      <c r="V286" s="26">
        <f t="shared" si="587"/>
        <v>0</v>
      </c>
      <c r="W286" s="26">
        <f t="shared" si="587"/>
        <v>0</v>
      </c>
      <c r="X286" s="92"/>
      <c r="Y286" s="27">
        <f>SUM(L286:W286)</f>
        <v>0</v>
      </c>
      <c r="Z286" s="92"/>
      <c r="AA286" s="34">
        <f>IFERROR($Y286/$Y$288, 0)</f>
        <v>0</v>
      </c>
      <c r="AB286" s="29">
        <f>IFERROR($Y286/$Y$398, 0)</f>
        <v>0</v>
      </c>
      <c r="AC286" s="123"/>
      <c r="AD286" s="7"/>
      <c r="AE286" s="7"/>
      <c r="AF286" s="8"/>
      <c r="AG286" s="8"/>
      <c r="AH286" s="8"/>
      <c r="AI286" s="8"/>
      <c r="AJ286" s="8"/>
      <c r="AK286" s="8"/>
      <c r="AL286" s="8"/>
    </row>
    <row r="287" spans="1:38" ht="15.75" customHeight="1">
      <c r="A287" s="17"/>
      <c r="B287" s="17"/>
      <c r="C287" s="17"/>
      <c r="D287" s="17"/>
      <c r="E287" s="14"/>
      <c r="F287" s="37"/>
      <c r="G287" s="37"/>
      <c r="H287" s="14"/>
      <c r="I287" s="126"/>
      <c r="J287" s="126"/>
      <c r="K287" s="92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92"/>
      <c r="Y287" s="20"/>
      <c r="Z287" s="92"/>
      <c r="AA287" s="157"/>
      <c r="AB287" s="158"/>
      <c r="AC287" s="121"/>
      <c r="AD287" s="3"/>
      <c r="AE287" s="3"/>
      <c r="AF287" s="1"/>
      <c r="AG287" s="1"/>
      <c r="AH287" s="1"/>
      <c r="AI287" s="1"/>
      <c r="AJ287" s="1"/>
      <c r="AK287" s="1"/>
      <c r="AL287" s="1"/>
    </row>
    <row r="288" spans="1:38" ht="13.8">
      <c r="A288" s="17"/>
      <c r="B288" s="17"/>
      <c r="C288" s="17"/>
      <c r="D288" s="17"/>
      <c r="E288" s="25" t="s">
        <v>92</v>
      </c>
      <c r="F288" s="18"/>
      <c r="G288" s="22"/>
      <c r="H288" s="14" t="s">
        <v>11</v>
      </c>
      <c r="I288" s="126"/>
      <c r="J288" s="126"/>
      <c r="K288" s="92"/>
      <c r="L288" s="26">
        <f t="shared" ref="L288:W288" si="588">SUMIF($H$207:$H$290,"$$$",L$207:L$290)</f>
        <v>0</v>
      </c>
      <c r="M288" s="26">
        <f t="shared" si="588"/>
        <v>0</v>
      </c>
      <c r="N288" s="26">
        <f t="shared" si="588"/>
        <v>0</v>
      </c>
      <c r="O288" s="26">
        <f t="shared" si="588"/>
        <v>0</v>
      </c>
      <c r="P288" s="26">
        <f t="shared" si="588"/>
        <v>0</v>
      </c>
      <c r="Q288" s="26">
        <f t="shared" si="588"/>
        <v>0</v>
      </c>
      <c r="R288" s="26">
        <f t="shared" si="588"/>
        <v>0</v>
      </c>
      <c r="S288" s="26">
        <f t="shared" si="588"/>
        <v>0</v>
      </c>
      <c r="T288" s="26">
        <f t="shared" si="588"/>
        <v>0</v>
      </c>
      <c r="U288" s="26">
        <f t="shared" si="588"/>
        <v>0</v>
      </c>
      <c r="V288" s="26">
        <f>SUMIF($H$207:$H$290,"$$$",V$207:V$290)</f>
        <v>0</v>
      </c>
      <c r="W288" s="26">
        <f t="shared" si="588"/>
        <v>0</v>
      </c>
      <c r="X288" s="92"/>
      <c r="Y288" s="26">
        <f>SUM(L288:W288)</f>
        <v>0</v>
      </c>
      <c r="Z288" s="92"/>
      <c r="AA288" s="34">
        <f>IFERROR($Y288/$Y$288, 0)</f>
        <v>0</v>
      </c>
      <c r="AB288" s="29">
        <f>IFERROR($Y288/$Y$398, 0)</f>
        <v>0</v>
      </c>
      <c r="AC288" s="16"/>
      <c r="AD288" s="3"/>
      <c r="AE288" s="3"/>
      <c r="AF288" s="1"/>
      <c r="AG288" s="1"/>
      <c r="AH288" s="1"/>
      <c r="AI288" s="1"/>
      <c r="AJ288" s="1"/>
      <c r="AK288" s="1"/>
      <c r="AL288" s="1"/>
    </row>
    <row r="289" spans="1:38" ht="14.4" thickBot="1">
      <c r="A289" s="135"/>
      <c r="B289" s="135"/>
      <c r="C289" s="135"/>
      <c r="D289" s="135"/>
      <c r="E289" s="105" t="s">
        <v>93</v>
      </c>
      <c r="F289" s="167"/>
      <c r="G289" s="168"/>
      <c r="H289" s="139" t="s">
        <v>417</v>
      </c>
      <c r="I289" s="140"/>
      <c r="J289" s="140"/>
      <c r="K289" s="169"/>
      <c r="L289" s="142">
        <f t="shared" ref="L289:W289" si="589">L288*(1-(0.15-$H$3))</f>
        <v>0</v>
      </c>
      <c r="M289" s="142">
        <f t="shared" si="589"/>
        <v>0</v>
      </c>
      <c r="N289" s="142">
        <f t="shared" si="589"/>
        <v>0</v>
      </c>
      <c r="O289" s="142">
        <f t="shared" ref="O289:P289" si="590">O288*(1-(0.15-$H$3))</f>
        <v>0</v>
      </c>
      <c r="P289" s="142">
        <f t="shared" si="590"/>
        <v>0</v>
      </c>
      <c r="Q289" s="142">
        <f t="shared" ref="Q289" si="591">Q288*(1-(0.15-$H$3))</f>
        <v>0</v>
      </c>
      <c r="R289" s="142">
        <f t="shared" si="589"/>
        <v>0</v>
      </c>
      <c r="S289" s="142">
        <f t="shared" si="589"/>
        <v>0</v>
      </c>
      <c r="T289" s="142">
        <f t="shared" si="589"/>
        <v>0</v>
      </c>
      <c r="U289" s="142">
        <f t="shared" si="589"/>
        <v>0</v>
      </c>
      <c r="V289" s="142">
        <f t="shared" si="589"/>
        <v>0</v>
      </c>
      <c r="W289" s="142">
        <f t="shared" si="589"/>
        <v>0</v>
      </c>
      <c r="X289" s="169"/>
      <c r="Y289" s="170">
        <f>SUM(L289:W289)</f>
        <v>0</v>
      </c>
      <c r="Z289" s="169"/>
      <c r="AA289" s="143"/>
      <c r="AB289" s="144"/>
      <c r="AC289" s="145"/>
      <c r="AD289" s="146"/>
      <c r="AE289" s="146"/>
      <c r="AF289" s="147"/>
      <c r="AG289" s="147"/>
      <c r="AH289" s="147"/>
      <c r="AI289" s="147"/>
      <c r="AJ289" s="147"/>
      <c r="AK289" s="147"/>
      <c r="AL289" s="147"/>
    </row>
    <row r="290" spans="1:38" ht="15.75" customHeight="1" thickTop="1">
      <c r="A290" s="251" t="s">
        <v>36</v>
      </c>
      <c r="B290" s="240"/>
      <c r="C290" s="240"/>
      <c r="D290" s="240"/>
      <c r="E290" s="240" t="s">
        <v>94</v>
      </c>
      <c r="F290" s="240" t="s">
        <v>442</v>
      </c>
      <c r="G290" s="240"/>
      <c r="H290" s="240"/>
      <c r="I290" s="246"/>
      <c r="J290" s="246" t="s">
        <v>435</v>
      </c>
      <c r="K290" s="240"/>
      <c r="L290" s="6" t="str">
        <f t="shared" ref="L290:W290" si="592">CONCATENATE("Week ",L$2)</f>
        <v>Week 12</v>
      </c>
      <c r="M290" s="6" t="str">
        <f t="shared" si="592"/>
        <v>Week 11</v>
      </c>
      <c r="N290" s="6" t="str">
        <f t="shared" si="592"/>
        <v>Week 10</v>
      </c>
      <c r="O290" s="6" t="str">
        <f t="shared" si="592"/>
        <v>Week 9</v>
      </c>
      <c r="P290" s="6" t="str">
        <f t="shared" si="592"/>
        <v>Week 8</v>
      </c>
      <c r="Q290" s="6" t="str">
        <f t="shared" si="592"/>
        <v>Week 7</v>
      </c>
      <c r="R290" s="6" t="str">
        <f t="shared" si="592"/>
        <v>Week 6</v>
      </c>
      <c r="S290" s="6" t="str">
        <f t="shared" si="592"/>
        <v>Week 5</v>
      </c>
      <c r="T290" s="6" t="str">
        <f t="shared" si="592"/>
        <v>Week 4</v>
      </c>
      <c r="U290" s="6" t="str">
        <f t="shared" si="592"/>
        <v>Week 3</v>
      </c>
      <c r="V290" s="6" t="str">
        <f t="shared" si="592"/>
        <v>Week 2</v>
      </c>
      <c r="W290" s="6" t="str">
        <f t="shared" si="592"/>
        <v>Week 1</v>
      </c>
      <c r="X290" s="240"/>
      <c r="Y290" s="240" t="s">
        <v>11</v>
      </c>
      <c r="Z290" s="240"/>
      <c r="AA290" s="240" t="s">
        <v>115</v>
      </c>
      <c r="AB290" s="242" t="s">
        <v>13</v>
      </c>
      <c r="AC290" s="143"/>
      <c r="AD290" s="148"/>
      <c r="AE290" s="148"/>
      <c r="AF290" s="149"/>
      <c r="AG290" s="149"/>
      <c r="AH290" s="149"/>
      <c r="AI290" s="149"/>
      <c r="AJ290" s="149"/>
      <c r="AK290" s="149"/>
      <c r="AL290" s="149"/>
    </row>
    <row r="291" spans="1:38" ht="15.75" customHeight="1" thickBot="1">
      <c r="A291" s="252"/>
      <c r="B291" s="241"/>
      <c r="C291" s="253"/>
      <c r="D291" s="253"/>
      <c r="E291" s="241"/>
      <c r="F291" s="253"/>
      <c r="G291" s="253"/>
      <c r="H291" s="241"/>
      <c r="I291" s="247"/>
      <c r="J291" s="247"/>
      <c r="K291" s="241"/>
      <c r="L291" s="10" t="str">
        <f t="shared" ref="L291:W291" si="593">TEXT(L$3, "mmm d") &amp; " - " &amp; TEXT(L$4, "mmm d")</f>
        <v>Aug 11 - Aug 17</v>
      </c>
      <c r="M291" s="10" t="str">
        <f t="shared" si="593"/>
        <v>Aug 18 - Aug 24</v>
      </c>
      <c r="N291" s="10" t="str">
        <f t="shared" si="593"/>
        <v>Aug 25 - Aug 31</v>
      </c>
      <c r="O291" s="10" t="str">
        <f t="shared" si="593"/>
        <v>Sep 1 - Sep 7</v>
      </c>
      <c r="P291" s="10" t="str">
        <f t="shared" si="593"/>
        <v>Sep 8 - Sep 14</v>
      </c>
      <c r="Q291" s="10" t="str">
        <f t="shared" si="593"/>
        <v>Sep 15 - Sep 21</v>
      </c>
      <c r="R291" s="10" t="str">
        <f t="shared" si="593"/>
        <v>Sep 22 - Sep 28</v>
      </c>
      <c r="S291" s="10" t="str">
        <f t="shared" si="593"/>
        <v>Sep 29 - Oct 5</v>
      </c>
      <c r="T291" s="10" t="str">
        <f t="shared" si="593"/>
        <v>Oct 6 - Oct 12</v>
      </c>
      <c r="U291" s="10" t="str">
        <f t="shared" si="593"/>
        <v>Oct 13 - Oct 19</v>
      </c>
      <c r="V291" s="10" t="str">
        <f t="shared" si="593"/>
        <v>Oct 20 - Oct 26</v>
      </c>
      <c r="W291" s="10" t="str">
        <f t="shared" si="593"/>
        <v>Oct 27 - Nov 3</v>
      </c>
      <c r="X291" s="241"/>
      <c r="Y291" s="241"/>
      <c r="Z291" s="241"/>
      <c r="AA291" s="241"/>
      <c r="AB291" s="243"/>
      <c r="AC291" s="143"/>
      <c r="AD291" s="148"/>
      <c r="AE291" s="150" t="s">
        <v>438</v>
      </c>
      <c r="AF291" s="150" t="s">
        <v>439</v>
      </c>
      <c r="AG291" s="151" t="s">
        <v>749</v>
      </c>
      <c r="AH291" s="150" t="s">
        <v>440</v>
      </c>
      <c r="AI291" s="150" t="s">
        <v>2</v>
      </c>
      <c r="AJ291" s="150" t="s">
        <v>15</v>
      </c>
      <c r="AK291" s="149"/>
      <c r="AL291" s="149"/>
    </row>
    <row r="292" spans="1:38" ht="15.75" customHeight="1" thickTop="1">
      <c r="A292" s="17"/>
      <c r="B292" s="17"/>
      <c r="C292" s="17"/>
      <c r="D292" s="17"/>
      <c r="E292" s="14"/>
      <c r="F292" s="14"/>
      <c r="G292" s="14"/>
      <c r="H292" s="14" t="s">
        <v>57</v>
      </c>
      <c r="I292" s="233"/>
      <c r="J292" s="237" t="s">
        <v>436</v>
      </c>
      <c r="K292" s="152"/>
      <c r="L292" s="88">
        <f>(L294*1000)/$A293</f>
        <v>0</v>
      </c>
      <c r="M292" s="88">
        <f t="shared" ref="M292:W292" si="594">(M294*1000)/$A293</f>
        <v>0</v>
      </c>
      <c r="N292" s="88">
        <f t="shared" si="594"/>
        <v>0</v>
      </c>
      <c r="O292" s="88">
        <f t="shared" ref="O292:P292" si="595">(O294*1000)/$A293</f>
        <v>0</v>
      </c>
      <c r="P292" s="88">
        <f t="shared" si="595"/>
        <v>0</v>
      </c>
      <c r="Q292" s="88">
        <f t="shared" ref="Q292" si="596">(Q294*1000)/$A293</f>
        <v>0</v>
      </c>
      <c r="R292" s="88">
        <f t="shared" si="594"/>
        <v>0</v>
      </c>
      <c r="S292" s="88">
        <f t="shared" si="594"/>
        <v>0</v>
      </c>
      <c r="T292" s="88">
        <f t="shared" si="594"/>
        <v>0</v>
      </c>
      <c r="U292" s="88">
        <f t="shared" si="594"/>
        <v>0</v>
      </c>
      <c r="V292" s="88">
        <f t="shared" si="594"/>
        <v>0</v>
      </c>
      <c r="W292" s="88">
        <f t="shared" si="594"/>
        <v>0</v>
      </c>
      <c r="X292" s="92"/>
      <c r="Y292" s="88">
        <f t="shared" ref="Y292:Y297" si="597">SUM(L292:W292)</f>
        <v>0</v>
      </c>
      <c r="Z292" s="92"/>
      <c r="AA292" s="244">
        <f>IFERROR($Y294/$Y$301, 0)</f>
        <v>0</v>
      </c>
      <c r="AB292" s="245">
        <f>IFERROR($Y294/$Y$398, 0)</f>
        <v>0</v>
      </c>
      <c r="AC292" s="145"/>
      <c r="AD292" s="146"/>
      <c r="AE292" s="146"/>
      <c r="AF292" s="147"/>
      <c r="AG292" s="147"/>
      <c r="AH292" s="147"/>
      <c r="AI292" s="147"/>
      <c r="AJ292" s="147"/>
      <c r="AK292" s="147"/>
      <c r="AL292" s="147"/>
    </row>
    <row r="293" spans="1:38" ht="15.75" customHeight="1">
      <c r="A293" s="17">
        <f>VLOOKUP($E293,'Digital Targeting'!$B$524:$E$892,4,FALSE)</f>
        <v>23.53</v>
      </c>
      <c r="B293" s="17"/>
      <c r="C293" s="95"/>
      <c r="D293" s="95"/>
      <c r="E293" s="14" t="s">
        <v>448</v>
      </c>
      <c r="F293" s="99"/>
      <c r="G293" s="88" t="e">
        <f>VLOOKUP($F293,'Digital Targeting'!$A$21:$G$100,5,FALSE)*I293</f>
        <v>#N/A</v>
      </c>
      <c r="H293" s="14" t="s">
        <v>420</v>
      </c>
      <c r="I293" s="235" t="e">
        <f>VLOOKUP(F293,'Digital Targeting'!$A$21:$M$214,11,FALSE)</f>
        <v>#N/A</v>
      </c>
      <c r="J293" s="237"/>
      <c r="K293" s="152"/>
      <c r="L293" s="89">
        <f>IFERROR(L292/$G293,0)</f>
        <v>0</v>
      </c>
      <c r="M293" s="89">
        <f t="shared" ref="M293" si="598">IFERROR(M292/$G293,0)</f>
        <v>0</v>
      </c>
      <c r="N293" s="89">
        <f t="shared" ref="N293" si="599">IFERROR(N292/$G293,0)</f>
        <v>0</v>
      </c>
      <c r="O293" s="89">
        <f t="shared" ref="O293" si="600">IFERROR(O292/$G293,0)</f>
        <v>0</v>
      </c>
      <c r="P293" s="89">
        <f t="shared" ref="P293" si="601">IFERROR(P292/$G293,0)</f>
        <v>0</v>
      </c>
      <c r="Q293" s="89">
        <f t="shared" ref="Q293" si="602">IFERROR(Q292/$G293,0)</f>
        <v>0</v>
      </c>
      <c r="R293" s="89">
        <f t="shared" ref="R293" si="603">IFERROR(R292/$G293,0)</f>
        <v>0</v>
      </c>
      <c r="S293" s="89">
        <f t="shared" ref="S293" si="604">IFERROR(S292/$G293,0)</f>
        <v>0</v>
      </c>
      <c r="T293" s="89">
        <f t="shared" ref="T293" si="605">IFERROR(T292/$G293,0)</f>
        <v>0</v>
      </c>
      <c r="U293" s="89">
        <f t="shared" ref="U293" si="606">IFERROR(U292/$G293,0)</f>
        <v>0</v>
      </c>
      <c r="V293" s="89">
        <f t="shared" ref="V293" si="607">IFERROR(V292/$G293,0)</f>
        <v>0</v>
      </c>
      <c r="W293" s="89">
        <f t="shared" ref="W293" si="608">IFERROR(W292/$G293,0)</f>
        <v>0</v>
      </c>
      <c r="X293" s="92"/>
      <c r="Y293" s="90">
        <f t="shared" si="597"/>
        <v>0</v>
      </c>
      <c r="Z293" s="92"/>
      <c r="AA293" s="238"/>
      <c r="AB293" s="239"/>
      <c r="AC293" s="145"/>
      <c r="AD293" s="146"/>
      <c r="AE293" s="153" t="e">
        <f>G293/1000</f>
        <v>#N/A</v>
      </c>
      <c r="AF293" s="153">
        <v>5</v>
      </c>
      <c r="AG293" s="153" t="e">
        <f>AF293*AE293</f>
        <v>#N/A</v>
      </c>
      <c r="AH293" s="154">
        <f>$A293</f>
        <v>23.53</v>
      </c>
      <c r="AI293" s="155">
        <f>($F$2-$F$3+1)/7</f>
        <v>12</v>
      </c>
      <c r="AJ293" s="154" t="e">
        <f>(AG293*AH293)/AI293</f>
        <v>#N/A</v>
      </c>
      <c r="AK293" s="147"/>
      <c r="AL293" s="147"/>
    </row>
    <row r="294" spans="1:38" ht="15.75" customHeight="1">
      <c r="F294" s="156"/>
      <c r="G294" s="22"/>
      <c r="H294" s="14" t="s">
        <v>15</v>
      </c>
      <c r="I294" s="233"/>
      <c r="J294" s="237"/>
      <c r="K294" s="152"/>
      <c r="L294" s="19">
        <v>0</v>
      </c>
      <c r="M294" s="19">
        <v>0</v>
      </c>
      <c r="N294" s="19">
        <v>0</v>
      </c>
      <c r="O294" s="19">
        <v>0</v>
      </c>
      <c r="P294" s="19">
        <v>0</v>
      </c>
      <c r="Q294" s="19">
        <v>0</v>
      </c>
      <c r="R294" s="19">
        <v>0</v>
      </c>
      <c r="S294" s="19">
        <v>0</v>
      </c>
      <c r="T294" s="19">
        <v>0</v>
      </c>
      <c r="U294" s="19">
        <v>0</v>
      </c>
      <c r="V294" s="19">
        <v>0</v>
      </c>
      <c r="W294" s="19">
        <v>0</v>
      </c>
      <c r="X294" s="92"/>
      <c r="Y294" s="20">
        <f t="shared" si="597"/>
        <v>0</v>
      </c>
      <c r="Z294" s="92"/>
      <c r="AA294" s="238"/>
      <c r="AB294" s="239"/>
      <c r="AC294" s="145"/>
      <c r="AD294" s="146"/>
      <c r="AE294" s="146"/>
      <c r="AF294" s="147"/>
      <c r="AG294" s="147"/>
      <c r="AH294" s="147"/>
      <c r="AI294" s="147"/>
      <c r="AJ294" s="147"/>
      <c r="AK294" s="147"/>
      <c r="AL294" s="147"/>
    </row>
    <row r="295" spans="1:38" ht="15.75" customHeight="1">
      <c r="A295" s="17"/>
      <c r="B295" s="17"/>
      <c r="C295" s="17"/>
      <c r="D295" s="17"/>
      <c r="E295" s="14"/>
      <c r="F295" s="100"/>
      <c r="G295" s="14"/>
      <c r="H295" s="14" t="s">
        <v>57</v>
      </c>
      <c r="I295" s="233"/>
      <c r="J295" s="237" t="s">
        <v>436</v>
      </c>
      <c r="K295" s="152"/>
      <c r="L295" s="88">
        <f>(L297*1000)/$A296</f>
        <v>0</v>
      </c>
      <c r="M295" s="88">
        <f t="shared" ref="M295:W295" si="609">(M297*1000)/$A296</f>
        <v>0</v>
      </c>
      <c r="N295" s="88">
        <f t="shared" si="609"/>
        <v>0</v>
      </c>
      <c r="O295" s="88">
        <f t="shared" ref="O295:P295" si="610">(O297*1000)/$A296</f>
        <v>0</v>
      </c>
      <c r="P295" s="88">
        <f t="shared" si="610"/>
        <v>0</v>
      </c>
      <c r="Q295" s="88">
        <f t="shared" ref="Q295" si="611">(Q297*1000)/$A296</f>
        <v>0</v>
      </c>
      <c r="R295" s="88">
        <f t="shared" si="609"/>
        <v>0</v>
      </c>
      <c r="S295" s="88">
        <f t="shared" si="609"/>
        <v>0</v>
      </c>
      <c r="T295" s="88">
        <f t="shared" si="609"/>
        <v>0</v>
      </c>
      <c r="U295" s="88">
        <f t="shared" si="609"/>
        <v>0</v>
      </c>
      <c r="V295" s="88">
        <f t="shared" si="609"/>
        <v>0</v>
      </c>
      <c r="W295" s="88">
        <f t="shared" si="609"/>
        <v>0</v>
      </c>
      <c r="X295" s="92"/>
      <c r="Y295" s="88">
        <f t="shared" si="597"/>
        <v>0</v>
      </c>
      <c r="Z295" s="92"/>
      <c r="AA295" s="238">
        <f>IFERROR($Y297/$Y$301, 0)</f>
        <v>0</v>
      </c>
      <c r="AB295" s="239">
        <f>IFERROR($Y297/$Y$398, 0)</f>
        <v>0</v>
      </c>
      <c r="AC295" s="145"/>
      <c r="AD295" s="146"/>
      <c r="AE295" s="146"/>
      <c r="AF295" s="147"/>
      <c r="AG295" s="147"/>
      <c r="AH295" s="147"/>
      <c r="AI295" s="147"/>
      <c r="AJ295" s="147"/>
      <c r="AK295" s="147"/>
      <c r="AL295" s="147"/>
    </row>
    <row r="296" spans="1:38" ht="15.75" customHeight="1">
      <c r="A296" s="17">
        <f>VLOOKUP($E296,'Digital Targeting'!$B$524:$E$892,4,FALSE)</f>
        <v>23.53</v>
      </c>
      <c r="B296" s="17"/>
      <c r="C296" s="95"/>
      <c r="D296" s="95"/>
      <c r="E296" s="14" t="s">
        <v>449</v>
      </c>
      <c r="F296" s="99"/>
      <c r="G296" s="88" t="e">
        <f>VLOOKUP($F296,'Digital Targeting'!$A$21:$G$100,5,FALSE)*I296</f>
        <v>#N/A</v>
      </c>
      <c r="H296" s="14" t="s">
        <v>420</v>
      </c>
      <c r="I296" s="235" t="e">
        <f>VLOOKUP(F296,'Digital Targeting'!$A$21:$M$214,11,FALSE)</f>
        <v>#N/A</v>
      </c>
      <c r="J296" s="237"/>
      <c r="K296" s="152"/>
      <c r="L296" s="89">
        <f>IFERROR(L295/$G296,0)</f>
        <v>0</v>
      </c>
      <c r="M296" s="89">
        <f t="shared" ref="M296" si="612">IFERROR(M295/$G296,0)</f>
        <v>0</v>
      </c>
      <c r="N296" s="89">
        <f t="shared" ref="N296" si="613">IFERROR(N295/$G296,0)</f>
        <v>0</v>
      </c>
      <c r="O296" s="89">
        <f t="shared" ref="O296" si="614">IFERROR(O295/$G296,0)</f>
        <v>0</v>
      </c>
      <c r="P296" s="89">
        <f t="shared" ref="P296" si="615">IFERROR(P295/$G296,0)</f>
        <v>0</v>
      </c>
      <c r="Q296" s="89">
        <f t="shared" ref="Q296" si="616">IFERROR(Q295/$G296,0)</f>
        <v>0</v>
      </c>
      <c r="R296" s="89">
        <f t="shared" ref="R296" si="617">IFERROR(R295/$G296,0)</f>
        <v>0</v>
      </c>
      <c r="S296" s="89">
        <f t="shared" ref="S296" si="618">IFERROR(S295/$G296,0)</f>
        <v>0</v>
      </c>
      <c r="T296" s="89">
        <f t="shared" ref="T296" si="619">IFERROR(T295/$G296,0)</f>
        <v>0</v>
      </c>
      <c r="U296" s="89">
        <f t="shared" ref="U296" si="620">IFERROR(U295/$G296,0)</f>
        <v>0</v>
      </c>
      <c r="V296" s="89">
        <f t="shared" ref="V296" si="621">IFERROR(V295/$G296,0)</f>
        <v>0</v>
      </c>
      <c r="W296" s="89">
        <f t="shared" ref="W296" si="622">IFERROR(W295/$G296,0)</f>
        <v>0</v>
      </c>
      <c r="X296" s="92"/>
      <c r="Y296" s="90">
        <f t="shared" si="597"/>
        <v>0</v>
      </c>
      <c r="Z296" s="92"/>
      <c r="AA296" s="238"/>
      <c r="AB296" s="239"/>
      <c r="AC296" s="145"/>
      <c r="AD296" s="146"/>
      <c r="AE296" s="153" t="e">
        <f>G296/1000</f>
        <v>#N/A</v>
      </c>
      <c r="AF296" s="153">
        <v>5</v>
      </c>
      <c r="AG296" s="153" t="e">
        <f>AF296*AE296</f>
        <v>#N/A</v>
      </c>
      <c r="AH296" s="154">
        <f>$A296</f>
        <v>23.53</v>
      </c>
      <c r="AI296" s="155">
        <f>($F$2-$F$3+1)/7</f>
        <v>12</v>
      </c>
      <c r="AJ296" s="154" t="e">
        <f>(AG296*AH296)/AI296</f>
        <v>#N/A</v>
      </c>
      <c r="AK296" s="147"/>
      <c r="AL296" s="147"/>
    </row>
    <row r="297" spans="1:38" ht="15.75" customHeight="1">
      <c r="F297" s="156"/>
      <c r="G297" s="22"/>
      <c r="H297" s="14" t="s">
        <v>15</v>
      </c>
      <c r="I297" s="233"/>
      <c r="J297" s="237"/>
      <c r="K297" s="152"/>
      <c r="L297" s="19">
        <v>0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9">
        <v>0</v>
      </c>
      <c r="V297" s="19">
        <v>0</v>
      </c>
      <c r="W297" s="19">
        <v>0</v>
      </c>
      <c r="X297" s="92"/>
      <c r="Y297" s="20">
        <f t="shared" si="597"/>
        <v>0</v>
      </c>
      <c r="Z297" s="92"/>
      <c r="AA297" s="238"/>
      <c r="AB297" s="239"/>
      <c r="AC297" s="145"/>
      <c r="AD297" s="146"/>
      <c r="AE297" s="146"/>
      <c r="AF297" s="147"/>
      <c r="AG297" s="147"/>
      <c r="AH297" s="147"/>
      <c r="AI297" s="147"/>
      <c r="AJ297" s="147"/>
      <c r="AK297" s="147"/>
      <c r="AL297" s="147"/>
    </row>
    <row r="298" spans="1:38" ht="15.75" customHeight="1">
      <c r="A298" s="17"/>
      <c r="B298" s="17"/>
      <c r="C298" s="17"/>
      <c r="D298" s="17"/>
      <c r="E298" s="14"/>
      <c r="F298" s="14"/>
      <c r="G298" s="14"/>
      <c r="H298" s="14"/>
      <c r="I298" s="126"/>
      <c r="J298" s="126"/>
      <c r="K298" s="92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92"/>
      <c r="Y298" s="20"/>
      <c r="Z298" s="92"/>
      <c r="AA298" s="23"/>
      <c r="AB298" s="24"/>
      <c r="AC298" s="145"/>
      <c r="AD298" s="146"/>
      <c r="AE298" s="146"/>
      <c r="AF298" s="147"/>
      <c r="AG298" s="147"/>
      <c r="AH298" s="147"/>
      <c r="AI298" s="147"/>
      <c r="AJ298" s="147"/>
      <c r="AK298" s="147"/>
      <c r="AL298" s="147"/>
    </row>
    <row r="299" spans="1:38" ht="15.75" customHeight="1">
      <c r="A299" s="210">
        <v>0.55000000000000004</v>
      </c>
      <c r="E299" s="106" t="s">
        <v>429</v>
      </c>
      <c r="F299" s="94"/>
      <c r="G299" s="94"/>
      <c r="H299" s="211" t="s">
        <v>748</v>
      </c>
      <c r="I299" s="126"/>
      <c r="J299" s="126"/>
      <c r="K299" s="92"/>
      <c r="L299" s="212">
        <f t="shared" ref="L299:W299" si="623">(SUMIFS(L$291:L$303, $H$291:$H$303, "IMPs", $J$291:$J$303, "Yes") / 1000 * 0.55)</f>
        <v>0</v>
      </c>
      <c r="M299" s="212">
        <f t="shared" si="623"/>
        <v>0</v>
      </c>
      <c r="N299" s="212">
        <f t="shared" si="623"/>
        <v>0</v>
      </c>
      <c r="O299" s="212">
        <f t="shared" si="623"/>
        <v>0</v>
      </c>
      <c r="P299" s="212">
        <f t="shared" si="623"/>
        <v>0</v>
      </c>
      <c r="Q299" s="212">
        <f t="shared" si="623"/>
        <v>0</v>
      </c>
      <c r="R299" s="212">
        <f t="shared" si="623"/>
        <v>0</v>
      </c>
      <c r="S299" s="212">
        <f t="shared" si="623"/>
        <v>0</v>
      </c>
      <c r="T299" s="212">
        <f t="shared" si="623"/>
        <v>0</v>
      </c>
      <c r="U299" s="212">
        <f t="shared" si="623"/>
        <v>0</v>
      </c>
      <c r="V299" s="212">
        <f t="shared" si="623"/>
        <v>0</v>
      </c>
      <c r="W299" s="212">
        <f t="shared" si="623"/>
        <v>0</v>
      </c>
      <c r="X299" s="213"/>
      <c r="Y299" s="214">
        <f>SUM(L299:W299)</f>
        <v>0</v>
      </c>
      <c r="Z299" s="92"/>
      <c r="AA299" s="215">
        <f>IFERROR(Y299/Y301,0)</f>
        <v>0</v>
      </c>
      <c r="AB299" s="216">
        <f>IFERROR(Y299/Y$398,0)</f>
        <v>0</v>
      </c>
      <c r="AC299" s="145"/>
      <c r="AD299" s="146"/>
      <c r="AE299" s="146"/>
      <c r="AF299" s="147"/>
      <c r="AG299" s="147"/>
      <c r="AH299" s="147"/>
      <c r="AI299" s="147"/>
      <c r="AJ299" s="147"/>
      <c r="AK299" s="147"/>
      <c r="AL299" s="147"/>
    </row>
    <row r="300" spans="1:38" ht="15.75" customHeight="1">
      <c r="A300" s="17"/>
      <c r="B300" s="17"/>
      <c r="C300" s="17"/>
      <c r="D300" s="17"/>
      <c r="E300" s="14"/>
      <c r="F300" s="14"/>
      <c r="G300" s="14"/>
      <c r="H300" s="14"/>
      <c r="I300" s="126"/>
      <c r="J300" s="126"/>
      <c r="K300" s="92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92"/>
      <c r="Y300" s="20"/>
      <c r="Z300" s="92"/>
      <c r="AA300" s="23"/>
      <c r="AB300" s="24"/>
      <c r="AC300" s="145"/>
      <c r="AD300" s="146"/>
      <c r="AE300" s="146"/>
      <c r="AF300" s="147"/>
      <c r="AG300" s="147"/>
      <c r="AH300" s="147"/>
      <c r="AI300" s="147"/>
      <c r="AJ300" s="147"/>
      <c r="AK300" s="147"/>
      <c r="AL300" s="147"/>
    </row>
    <row r="301" spans="1:38" ht="15.75" customHeight="1">
      <c r="A301" s="17"/>
      <c r="B301" s="17"/>
      <c r="C301" s="17"/>
      <c r="D301" s="17"/>
      <c r="E301" s="25" t="s">
        <v>424</v>
      </c>
      <c r="F301" s="18"/>
      <c r="G301" s="22"/>
      <c r="H301" s="14" t="s">
        <v>11</v>
      </c>
      <c r="I301" s="126"/>
      <c r="J301" s="126"/>
      <c r="K301" s="92"/>
      <c r="L301" s="26">
        <f>SUMIF($H291:$H303,"$$$",L$291:L$303)+L299</f>
        <v>0</v>
      </c>
      <c r="M301" s="26">
        <f t="shared" ref="M301:W301" si="624">SUMIF($H291:$H303,"$$$",M$291:M$303)+M299</f>
        <v>0</v>
      </c>
      <c r="N301" s="26">
        <f t="shared" si="624"/>
        <v>0</v>
      </c>
      <c r="O301" s="26">
        <f t="shared" si="624"/>
        <v>0</v>
      </c>
      <c r="P301" s="26">
        <f t="shared" si="624"/>
        <v>0</v>
      </c>
      <c r="Q301" s="26">
        <f t="shared" si="624"/>
        <v>0</v>
      </c>
      <c r="R301" s="26">
        <f t="shared" si="624"/>
        <v>0</v>
      </c>
      <c r="S301" s="26">
        <f t="shared" si="624"/>
        <v>0</v>
      </c>
      <c r="T301" s="26">
        <f t="shared" si="624"/>
        <v>0</v>
      </c>
      <c r="U301" s="26">
        <f t="shared" si="624"/>
        <v>0</v>
      </c>
      <c r="V301" s="26">
        <f t="shared" si="624"/>
        <v>0</v>
      </c>
      <c r="W301" s="26">
        <f t="shared" si="624"/>
        <v>0</v>
      </c>
      <c r="X301" s="92"/>
      <c r="Y301" s="26">
        <f>SUM(L301:W301)</f>
        <v>0</v>
      </c>
      <c r="Z301" s="92"/>
      <c r="AA301" s="28">
        <f>IFERROR($Y301/$Y$301, 0)</f>
        <v>0</v>
      </c>
      <c r="AB301" s="29">
        <f>IFERROR($Y301/$Y$398, 0)</f>
        <v>0</v>
      </c>
      <c r="AC301" s="145"/>
      <c r="AD301" s="146"/>
      <c r="AE301" s="146"/>
      <c r="AF301" s="147"/>
      <c r="AG301" s="147"/>
      <c r="AH301" s="147"/>
      <c r="AI301" s="147"/>
      <c r="AJ301" s="147"/>
      <c r="AK301" s="147"/>
      <c r="AL301" s="147"/>
    </row>
    <row r="302" spans="1:38" ht="15.75" customHeight="1" thickBot="1">
      <c r="A302" s="135"/>
      <c r="B302" s="135"/>
      <c r="C302" s="135"/>
      <c r="D302" s="135"/>
      <c r="E302" s="136" t="s">
        <v>425</v>
      </c>
      <c r="F302" s="137"/>
      <c r="G302" s="138"/>
      <c r="H302" s="139" t="s">
        <v>417</v>
      </c>
      <c r="I302" s="140"/>
      <c r="J302" s="140"/>
      <c r="K302" s="141"/>
      <c r="L302" s="142">
        <f t="shared" ref="L302:W302" si="625">L301*(1-(0.15-$H$3))</f>
        <v>0</v>
      </c>
      <c r="M302" s="142">
        <f t="shared" si="625"/>
        <v>0</v>
      </c>
      <c r="N302" s="142">
        <f t="shared" si="625"/>
        <v>0</v>
      </c>
      <c r="O302" s="142">
        <f t="shared" ref="O302:P302" si="626">O301*(1-(0.15-$H$3))</f>
        <v>0</v>
      </c>
      <c r="P302" s="142">
        <f t="shared" si="626"/>
        <v>0</v>
      </c>
      <c r="Q302" s="142">
        <f t="shared" ref="Q302" si="627">Q301*(1-(0.15-$H$3))</f>
        <v>0</v>
      </c>
      <c r="R302" s="142">
        <f t="shared" si="625"/>
        <v>0</v>
      </c>
      <c r="S302" s="142">
        <f t="shared" si="625"/>
        <v>0</v>
      </c>
      <c r="T302" s="142">
        <f t="shared" si="625"/>
        <v>0</v>
      </c>
      <c r="U302" s="142">
        <f t="shared" si="625"/>
        <v>0</v>
      </c>
      <c r="V302" s="142">
        <f t="shared" si="625"/>
        <v>0</v>
      </c>
      <c r="W302" s="142">
        <f t="shared" si="625"/>
        <v>0</v>
      </c>
      <c r="X302" s="141"/>
      <c r="Y302" s="142">
        <f>SUM(L302:W302)</f>
        <v>0</v>
      </c>
      <c r="Z302" s="141"/>
      <c r="AA302" s="143"/>
      <c r="AB302" s="144"/>
      <c r="AC302" s="145"/>
      <c r="AD302" s="146"/>
      <c r="AE302" s="146"/>
      <c r="AF302" s="147"/>
      <c r="AG302" s="147"/>
      <c r="AH302" s="147"/>
      <c r="AI302" s="147"/>
      <c r="AJ302" s="147"/>
      <c r="AK302" s="147"/>
      <c r="AL302" s="147"/>
    </row>
    <row r="303" spans="1:38" ht="15.75" customHeight="1" thickTop="1">
      <c r="A303" s="251" t="s">
        <v>36</v>
      </c>
      <c r="B303" s="240"/>
      <c r="C303" s="240"/>
      <c r="D303" s="240"/>
      <c r="E303" s="240" t="s">
        <v>95</v>
      </c>
      <c r="F303" s="240" t="s">
        <v>442</v>
      </c>
      <c r="G303" s="240"/>
      <c r="H303" s="240"/>
      <c r="I303" s="246"/>
      <c r="J303" s="246" t="s">
        <v>435</v>
      </c>
      <c r="K303" s="240"/>
      <c r="L303" s="6" t="str">
        <f t="shared" ref="L303:W303" si="628">CONCATENATE("Week ",L$2)</f>
        <v>Week 12</v>
      </c>
      <c r="M303" s="6" t="str">
        <f t="shared" si="628"/>
        <v>Week 11</v>
      </c>
      <c r="N303" s="6" t="str">
        <f t="shared" si="628"/>
        <v>Week 10</v>
      </c>
      <c r="O303" s="6" t="str">
        <f t="shared" si="628"/>
        <v>Week 9</v>
      </c>
      <c r="P303" s="6" t="str">
        <f t="shared" si="628"/>
        <v>Week 8</v>
      </c>
      <c r="Q303" s="6" t="str">
        <f t="shared" si="628"/>
        <v>Week 7</v>
      </c>
      <c r="R303" s="6" t="str">
        <f t="shared" si="628"/>
        <v>Week 6</v>
      </c>
      <c r="S303" s="6" t="str">
        <f t="shared" si="628"/>
        <v>Week 5</v>
      </c>
      <c r="T303" s="6" t="str">
        <f t="shared" si="628"/>
        <v>Week 4</v>
      </c>
      <c r="U303" s="6" t="str">
        <f t="shared" si="628"/>
        <v>Week 3</v>
      </c>
      <c r="V303" s="6" t="str">
        <f t="shared" si="628"/>
        <v>Week 2</v>
      </c>
      <c r="W303" s="6" t="str">
        <f t="shared" si="628"/>
        <v>Week 1</v>
      </c>
      <c r="X303" s="240"/>
      <c r="Y303" s="240" t="s">
        <v>11</v>
      </c>
      <c r="Z303" s="240"/>
      <c r="AA303" s="240" t="s">
        <v>116</v>
      </c>
      <c r="AB303" s="242" t="s">
        <v>13</v>
      </c>
      <c r="AC303" s="143"/>
      <c r="AD303" s="148"/>
      <c r="AE303" s="148"/>
      <c r="AF303" s="149"/>
      <c r="AG303" s="149"/>
      <c r="AH303" s="149"/>
      <c r="AI303" s="149"/>
      <c r="AJ303" s="149"/>
      <c r="AK303" s="149"/>
      <c r="AL303" s="149"/>
    </row>
    <row r="304" spans="1:38" ht="15.75" customHeight="1" thickBot="1">
      <c r="A304" s="252"/>
      <c r="B304" s="241"/>
      <c r="C304" s="253"/>
      <c r="D304" s="253"/>
      <c r="E304" s="241"/>
      <c r="F304" s="253"/>
      <c r="G304" s="253"/>
      <c r="H304" s="241"/>
      <c r="I304" s="247"/>
      <c r="J304" s="247"/>
      <c r="K304" s="241"/>
      <c r="L304" s="10" t="str">
        <f t="shared" ref="L304:W304" si="629">TEXT(L$3, "mmm d") &amp; " - " &amp; TEXT(L$4, "mmm d")</f>
        <v>Aug 11 - Aug 17</v>
      </c>
      <c r="M304" s="10" t="str">
        <f t="shared" si="629"/>
        <v>Aug 18 - Aug 24</v>
      </c>
      <c r="N304" s="10" t="str">
        <f t="shared" si="629"/>
        <v>Aug 25 - Aug 31</v>
      </c>
      <c r="O304" s="10" t="str">
        <f t="shared" si="629"/>
        <v>Sep 1 - Sep 7</v>
      </c>
      <c r="P304" s="10" t="str">
        <f t="shared" si="629"/>
        <v>Sep 8 - Sep 14</v>
      </c>
      <c r="Q304" s="10" t="str">
        <f t="shared" si="629"/>
        <v>Sep 15 - Sep 21</v>
      </c>
      <c r="R304" s="10" t="str">
        <f t="shared" si="629"/>
        <v>Sep 22 - Sep 28</v>
      </c>
      <c r="S304" s="10" t="str">
        <f t="shared" si="629"/>
        <v>Sep 29 - Oct 5</v>
      </c>
      <c r="T304" s="10" t="str">
        <f t="shared" si="629"/>
        <v>Oct 6 - Oct 12</v>
      </c>
      <c r="U304" s="10" t="str">
        <f t="shared" si="629"/>
        <v>Oct 13 - Oct 19</v>
      </c>
      <c r="V304" s="10" t="str">
        <f t="shared" si="629"/>
        <v>Oct 20 - Oct 26</v>
      </c>
      <c r="W304" s="10" t="str">
        <f t="shared" si="629"/>
        <v>Oct 27 - Nov 3</v>
      </c>
      <c r="X304" s="241"/>
      <c r="Y304" s="241"/>
      <c r="Z304" s="241"/>
      <c r="AA304" s="241"/>
      <c r="AB304" s="243"/>
      <c r="AC304" s="143"/>
      <c r="AD304" s="148"/>
      <c r="AE304" s="150" t="s">
        <v>438</v>
      </c>
      <c r="AF304" s="150" t="s">
        <v>439</v>
      </c>
      <c r="AG304" s="151" t="s">
        <v>749</v>
      </c>
      <c r="AH304" s="150" t="s">
        <v>440</v>
      </c>
      <c r="AI304" s="150" t="s">
        <v>2</v>
      </c>
      <c r="AJ304" s="150" t="s">
        <v>15</v>
      </c>
      <c r="AK304" s="149"/>
      <c r="AL304" s="149"/>
    </row>
    <row r="305" spans="1:38" ht="15.75" customHeight="1" thickTop="1">
      <c r="A305" s="17"/>
      <c r="B305" s="17"/>
      <c r="C305" s="17"/>
      <c r="D305" s="17"/>
      <c r="E305" s="14"/>
      <c r="F305" s="25"/>
      <c r="G305" s="14"/>
      <c r="H305" s="14" t="s">
        <v>57</v>
      </c>
      <c r="I305" s="233"/>
      <c r="J305" s="237" t="s">
        <v>436</v>
      </c>
      <c r="K305" s="152"/>
      <c r="L305" s="88">
        <f>(L307*1000)/$A306</f>
        <v>0</v>
      </c>
      <c r="M305" s="88">
        <f t="shared" ref="M305:W305" si="630">(M307*1000)/$A306</f>
        <v>0</v>
      </c>
      <c r="N305" s="88">
        <f t="shared" si="630"/>
        <v>0</v>
      </c>
      <c r="O305" s="88">
        <f t="shared" ref="O305:P305" si="631">(O307*1000)/$A306</f>
        <v>0</v>
      </c>
      <c r="P305" s="88">
        <f t="shared" si="631"/>
        <v>0</v>
      </c>
      <c r="Q305" s="88">
        <f t="shared" ref="Q305" si="632">(Q307*1000)/$A306</f>
        <v>0</v>
      </c>
      <c r="R305" s="88">
        <f t="shared" si="630"/>
        <v>0</v>
      </c>
      <c r="S305" s="88">
        <f t="shared" si="630"/>
        <v>0</v>
      </c>
      <c r="T305" s="88">
        <f t="shared" si="630"/>
        <v>0</v>
      </c>
      <c r="U305" s="88">
        <f t="shared" si="630"/>
        <v>0</v>
      </c>
      <c r="V305" s="88">
        <f t="shared" si="630"/>
        <v>0</v>
      </c>
      <c r="W305" s="88">
        <f t="shared" si="630"/>
        <v>0</v>
      </c>
      <c r="X305" s="92"/>
      <c r="Y305" s="88">
        <f t="shared" ref="Y305:Y310" si="633">SUM(L305:W305)</f>
        <v>0</v>
      </c>
      <c r="Z305" s="92"/>
      <c r="AA305" s="244">
        <f>IFERROR($Y307/$Y$314, 0)</f>
        <v>0</v>
      </c>
      <c r="AB305" s="245">
        <f>IFERROR($Y307/$Y$398, 0)</f>
        <v>0</v>
      </c>
      <c r="AC305" s="145"/>
      <c r="AD305" s="146"/>
      <c r="AE305" s="146"/>
      <c r="AF305" s="147"/>
      <c r="AG305" s="147"/>
      <c r="AH305" s="147"/>
      <c r="AI305" s="147"/>
      <c r="AJ305" s="147"/>
      <c r="AK305" s="147"/>
      <c r="AL305" s="147"/>
    </row>
    <row r="306" spans="1:38" ht="15.75" customHeight="1">
      <c r="A306" s="17">
        <f>VLOOKUP($E306,'Digital Targeting'!$B$524:$E$892,4,FALSE)</f>
        <v>27.06</v>
      </c>
      <c r="B306" s="17"/>
      <c r="C306" s="95"/>
      <c r="D306" s="95"/>
      <c r="E306" s="14" t="s">
        <v>450</v>
      </c>
      <c r="F306" s="99"/>
      <c r="G306" s="88" t="e">
        <f>VLOOKUP($F306,'Digital Targeting'!$A$21:$G$100,5,FALSE)*I306</f>
        <v>#N/A</v>
      </c>
      <c r="H306" s="14" t="s">
        <v>420</v>
      </c>
      <c r="I306" s="235" t="e">
        <f>VLOOKUP(F306,'Digital Targeting'!$A$21:$M$214,11,FALSE)</f>
        <v>#N/A</v>
      </c>
      <c r="J306" s="237"/>
      <c r="K306" s="152"/>
      <c r="L306" s="89">
        <f>IFERROR(L305/$G306,0)</f>
        <v>0</v>
      </c>
      <c r="M306" s="89">
        <f t="shared" ref="M306" si="634">IFERROR(M305/$G306,0)</f>
        <v>0</v>
      </c>
      <c r="N306" s="89">
        <f t="shared" ref="N306" si="635">IFERROR(N305/$G306,0)</f>
        <v>0</v>
      </c>
      <c r="O306" s="89">
        <f t="shared" ref="O306" si="636">IFERROR(O305/$G306,0)</f>
        <v>0</v>
      </c>
      <c r="P306" s="89">
        <f t="shared" ref="P306" si="637">IFERROR(P305/$G306,0)</f>
        <v>0</v>
      </c>
      <c r="Q306" s="89">
        <f t="shared" ref="Q306" si="638">IFERROR(Q305/$G306,0)</f>
        <v>0</v>
      </c>
      <c r="R306" s="89">
        <f t="shared" ref="R306" si="639">IFERROR(R305/$G306,0)</f>
        <v>0</v>
      </c>
      <c r="S306" s="89">
        <f t="shared" ref="S306" si="640">IFERROR(S305/$G306,0)</f>
        <v>0</v>
      </c>
      <c r="T306" s="89">
        <f t="shared" ref="T306" si="641">IFERROR(T305/$G306,0)</f>
        <v>0</v>
      </c>
      <c r="U306" s="89">
        <f t="shared" ref="U306" si="642">IFERROR(U305/$G306,0)</f>
        <v>0</v>
      </c>
      <c r="V306" s="89">
        <f t="shared" ref="V306" si="643">IFERROR(V305/$G306,0)</f>
        <v>0</v>
      </c>
      <c r="W306" s="89">
        <f t="shared" ref="W306" si="644">IFERROR(W305/$G306,0)</f>
        <v>0</v>
      </c>
      <c r="X306" s="92"/>
      <c r="Y306" s="90">
        <f t="shared" si="633"/>
        <v>0</v>
      </c>
      <c r="Z306" s="92"/>
      <c r="AA306" s="238"/>
      <c r="AB306" s="239"/>
      <c r="AC306" s="145"/>
      <c r="AD306" s="146"/>
      <c r="AE306" s="153" t="e">
        <f>G306/1000</f>
        <v>#N/A</v>
      </c>
      <c r="AF306" s="153">
        <v>5</v>
      </c>
      <c r="AG306" s="153" t="e">
        <f>AF306*AE306</f>
        <v>#N/A</v>
      </c>
      <c r="AH306" s="154">
        <f>$A306</f>
        <v>27.06</v>
      </c>
      <c r="AI306" s="155">
        <f>($F$2-$F$3+1)/7</f>
        <v>12</v>
      </c>
      <c r="AJ306" s="154" t="e">
        <f>(AG306*AH306)/AI306</f>
        <v>#N/A</v>
      </c>
      <c r="AK306" s="147"/>
      <c r="AL306" s="147"/>
    </row>
    <row r="307" spans="1:38" ht="15.75" customHeight="1">
      <c r="F307" s="156"/>
      <c r="G307" s="22"/>
      <c r="H307" s="14" t="s">
        <v>15</v>
      </c>
      <c r="I307" s="233"/>
      <c r="J307" s="237"/>
      <c r="K307" s="152"/>
      <c r="L307" s="19">
        <v>0</v>
      </c>
      <c r="M307" s="19">
        <v>0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92"/>
      <c r="Y307" s="20">
        <f t="shared" si="633"/>
        <v>0</v>
      </c>
      <c r="Z307" s="92"/>
      <c r="AA307" s="238"/>
      <c r="AB307" s="239"/>
      <c r="AC307" s="145"/>
      <c r="AD307" s="146"/>
      <c r="AE307" s="146"/>
      <c r="AF307" s="147"/>
      <c r="AG307" s="147"/>
      <c r="AH307" s="147"/>
      <c r="AI307" s="147"/>
      <c r="AJ307" s="147"/>
      <c r="AK307" s="147"/>
      <c r="AL307" s="147"/>
    </row>
    <row r="308" spans="1:38" ht="15.75" customHeight="1">
      <c r="A308" s="17"/>
      <c r="B308" s="17"/>
      <c r="C308" s="17"/>
      <c r="D308" s="17"/>
      <c r="E308" s="14"/>
      <c r="F308" s="100"/>
      <c r="G308" s="14"/>
      <c r="H308" s="14" t="s">
        <v>57</v>
      </c>
      <c r="I308" s="233"/>
      <c r="J308" s="237" t="s">
        <v>436</v>
      </c>
      <c r="K308" s="152"/>
      <c r="L308" s="88">
        <f>(L310*1000)/$A309</f>
        <v>0</v>
      </c>
      <c r="M308" s="88">
        <f t="shared" ref="M308:W308" si="645">(M310*1000)/$A309</f>
        <v>0</v>
      </c>
      <c r="N308" s="88">
        <f t="shared" si="645"/>
        <v>0</v>
      </c>
      <c r="O308" s="88">
        <f t="shared" ref="O308:P308" si="646">(O310*1000)/$A309</f>
        <v>0</v>
      </c>
      <c r="P308" s="88">
        <f t="shared" si="646"/>
        <v>0</v>
      </c>
      <c r="Q308" s="88">
        <f t="shared" ref="Q308" si="647">(Q310*1000)/$A309</f>
        <v>0</v>
      </c>
      <c r="R308" s="88">
        <f t="shared" si="645"/>
        <v>0</v>
      </c>
      <c r="S308" s="88">
        <f t="shared" si="645"/>
        <v>0</v>
      </c>
      <c r="T308" s="88">
        <f t="shared" si="645"/>
        <v>0</v>
      </c>
      <c r="U308" s="88">
        <f t="shared" si="645"/>
        <v>0</v>
      </c>
      <c r="V308" s="88">
        <f t="shared" si="645"/>
        <v>0</v>
      </c>
      <c r="W308" s="88">
        <f t="shared" si="645"/>
        <v>0</v>
      </c>
      <c r="X308" s="92"/>
      <c r="Y308" s="88">
        <f t="shared" si="633"/>
        <v>0</v>
      </c>
      <c r="Z308" s="92"/>
      <c r="AA308" s="238">
        <f>IFERROR($Y310/$Y$314, 0)</f>
        <v>0</v>
      </c>
      <c r="AB308" s="239">
        <f>IFERROR($Y310/$Y$398, 0)</f>
        <v>0</v>
      </c>
      <c r="AC308" s="145"/>
      <c r="AD308" s="146"/>
      <c r="AE308" s="146"/>
      <c r="AF308" s="147"/>
      <c r="AG308" s="147"/>
      <c r="AH308" s="147"/>
      <c r="AI308" s="147"/>
      <c r="AJ308" s="147"/>
      <c r="AK308" s="147"/>
      <c r="AL308" s="147"/>
    </row>
    <row r="309" spans="1:38" ht="15.75" customHeight="1">
      <c r="A309" s="17">
        <f>VLOOKUP($E309,'Digital Targeting'!$B$524:$E$892,4,FALSE)</f>
        <v>27.06</v>
      </c>
      <c r="B309" s="17"/>
      <c r="C309" s="95"/>
      <c r="D309" s="95"/>
      <c r="E309" s="14" t="s">
        <v>451</v>
      </c>
      <c r="F309" s="99"/>
      <c r="G309" s="88" t="e">
        <f>VLOOKUP($F309,'Digital Targeting'!$A$21:$G$100,5,FALSE)*I309</f>
        <v>#N/A</v>
      </c>
      <c r="H309" s="14" t="s">
        <v>420</v>
      </c>
      <c r="I309" s="235" t="e">
        <f>VLOOKUP(F309,'Digital Targeting'!$A$21:$M$214,11,FALSE)</f>
        <v>#N/A</v>
      </c>
      <c r="J309" s="237"/>
      <c r="K309" s="152"/>
      <c r="L309" s="89">
        <f>IFERROR(L308/$G309,0)</f>
        <v>0</v>
      </c>
      <c r="M309" s="89">
        <f t="shared" ref="M309" si="648">IFERROR(M308/$G309,0)</f>
        <v>0</v>
      </c>
      <c r="N309" s="89">
        <f t="shared" ref="N309" si="649">IFERROR(N308/$G309,0)</f>
        <v>0</v>
      </c>
      <c r="O309" s="89">
        <f t="shared" ref="O309" si="650">IFERROR(O308/$G309,0)</f>
        <v>0</v>
      </c>
      <c r="P309" s="89">
        <f t="shared" ref="P309" si="651">IFERROR(P308/$G309,0)</f>
        <v>0</v>
      </c>
      <c r="Q309" s="89">
        <f t="shared" ref="Q309" si="652">IFERROR(Q308/$G309,0)</f>
        <v>0</v>
      </c>
      <c r="R309" s="89">
        <f t="shared" ref="R309" si="653">IFERROR(R308/$G309,0)</f>
        <v>0</v>
      </c>
      <c r="S309" s="89">
        <f t="shared" ref="S309" si="654">IFERROR(S308/$G309,0)</f>
        <v>0</v>
      </c>
      <c r="T309" s="89">
        <f t="shared" ref="T309" si="655">IFERROR(T308/$G309,0)</f>
        <v>0</v>
      </c>
      <c r="U309" s="89">
        <f t="shared" ref="U309" si="656">IFERROR(U308/$G309,0)</f>
        <v>0</v>
      </c>
      <c r="V309" s="89">
        <f t="shared" ref="V309" si="657">IFERROR(V308/$G309,0)</f>
        <v>0</v>
      </c>
      <c r="W309" s="89">
        <f t="shared" ref="W309" si="658">IFERROR(W308/$G309,0)</f>
        <v>0</v>
      </c>
      <c r="X309" s="92"/>
      <c r="Y309" s="90">
        <f t="shared" si="633"/>
        <v>0</v>
      </c>
      <c r="Z309" s="92"/>
      <c r="AA309" s="238"/>
      <c r="AB309" s="239"/>
      <c r="AC309" s="145"/>
      <c r="AD309" s="146"/>
      <c r="AE309" s="153" t="e">
        <f>G309/1000</f>
        <v>#N/A</v>
      </c>
      <c r="AF309" s="153">
        <v>5</v>
      </c>
      <c r="AG309" s="153" t="e">
        <f>AF309*AE309</f>
        <v>#N/A</v>
      </c>
      <c r="AH309" s="154">
        <f>$A309</f>
        <v>27.06</v>
      </c>
      <c r="AI309" s="155">
        <f>($F$2-$F$3+1)/7</f>
        <v>12</v>
      </c>
      <c r="AJ309" s="154" t="e">
        <f>(AG309*AH309)/AI309</f>
        <v>#N/A</v>
      </c>
      <c r="AK309" s="147"/>
      <c r="AL309" s="147"/>
    </row>
    <row r="310" spans="1:38" ht="15.75" customHeight="1">
      <c r="F310" s="156"/>
      <c r="G310" s="22"/>
      <c r="H310" s="14" t="s">
        <v>15</v>
      </c>
      <c r="I310" s="233"/>
      <c r="J310" s="237"/>
      <c r="K310" s="152"/>
      <c r="L310" s="19">
        <v>0</v>
      </c>
      <c r="M310" s="19">
        <v>0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0</v>
      </c>
      <c r="T310" s="19">
        <v>0</v>
      </c>
      <c r="U310" s="19">
        <v>0</v>
      </c>
      <c r="V310" s="19">
        <v>0</v>
      </c>
      <c r="W310" s="19">
        <v>0</v>
      </c>
      <c r="X310" s="92"/>
      <c r="Y310" s="20">
        <f t="shared" si="633"/>
        <v>0</v>
      </c>
      <c r="Z310" s="92"/>
      <c r="AA310" s="238"/>
      <c r="AB310" s="239"/>
      <c r="AC310" s="145"/>
      <c r="AD310" s="146"/>
      <c r="AE310" s="146"/>
      <c r="AF310" s="147"/>
      <c r="AG310" s="147"/>
      <c r="AH310" s="147"/>
      <c r="AI310" s="147"/>
      <c r="AJ310" s="147"/>
      <c r="AK310" s="147"/>
      <c r="AL310" s="147"/>
    </row>
    <row r="311" spans="1:38" ht="15.75" customHeight="1">
      <c r="A311" s="17"/>
      <c r="B311" s="17"/>
      <c r="C311" s="17"/>
      <c r="D311" s="17"/>
      <c r="E311" s="14"/>
      <c r="F311" s="14"/>
      <c r="G311" s="14"/>
      <c r="H311" s="14"/>
      <c r="I311" s="126"/>
      <c r="J311" s="126"/>
      <c r="K311" s="152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92"/>
      <c r="Y311" s="20"/>
      <c r="Z311" s="92"/>
      <c r="AA311" s="23"/>
      <c r="AB311" s="24"/>
      <c r="AC311" s="145"/>
      <c r="AD311" s="146"/>
      <c r="AE311" s="146"/>
      <c r="AF311" s="147"/>
      <c r="AG311" s="147"/>
      <c r="AH311" s="147"/>
      <c r="AI311" s="147"/>
      <c r="AJ311" s="147"/>
      <c r="AK311" s="147"/>
      <c r="AL311" s="147"/>
    </row>
    <row r="312" spans="1:38" ht="15.75" customHeight="1">
      <c r="A312" s="210">
        <v>0.55000000000000004</v>
      </c>
      <c r="E312" s="106" t="s">
        <v>429</v>
      </c>
      <c r="F312" s="94"/>
      <c r="G312" s="94"/>
      <c r="H312" s="211" t="s">
        <v>748</v>
      </c>
      <c r="I312" s="126"/>
      <c r="J312" s="126"/>
      <c r="K312" s="92"/>
      <c r="L312" s="212">
        <f t="shared" ref="L312:W312" si="659">(SUMIFS(L$304:L$316, $H$304:$H$316, "IMPs", $J$304:$J$316, "Yes") / 1000 * 0.55)</f>
        <v>0</v>
      </c>
      <c r="M312" s="212">
        <f t="shared" si="659"/>
        <v>0</v>
      </c>
      <c r="N312" s="212">
        <f t="shared" si="659"/>
        <v>0</v>
      </c>
      <c r="O312" s="212">
        <f t="shared" si="659"/>
        <v>0</v>
      </c>
      <c r="P312" s="212">
        <f t="shared" si="659"/>
        <v>0</v>
      </c>
      <c r="Q312" s="212">
        <f t="shared" si="659"/>
        <v>0</v>
      </c>
      <c r="R312" s="212">
        <f t="shared" si="659"/>
        <v>0</v>
      </c>
      <c r="S312" s="212">
        <f t="shared" si="659"/>
        <v>0</v>
      </c>
      <c r="T312" s="212">
        <f t="shared" si="659"/>
        <v>0</v>
      </c>
      <c r="U312" s="212">
        <f t="shared" si="659"/>
        <v>0</v>
      </c>
      <c r="V312" s="212">
        <f t="shared" si="659"/>
        <v>0</v>
      </c>
      <c r="W312" s="212">
        <f t="shared" si="659"/>
        <v>0</v>
      </c>
      <c r="X312" s="213"/>
      <c r="Y312" s="214">
        <f>SUM(L312:W312)</f>
        <v>0</v>
      </c>
      <c r="Z312" s="92"/>
      <c r="AA312" s="215">
        <f>IFERROR(Y312/Y314,0)</f>
        <v>0</v>
      </c>
      <c r="AB312" s="216">
        <f>IFERROR(Y312/Y$398,0)</f>
        <v>0</v>
      </c>
      <c r="AC312" s="145"/>
      <c r="AD312" s="146"/>
      <c r="AE312" s="146"/>
      <c r="AF312" s="147"/>
      <c r="AG312" s="147"/>
      <c r="AH312" s="147"/>
      <c r="AI312" s="147"/>
      <c r="AJ312" s="147"/>
      <c r="AK312" s="147"/>
      <c r="AL312" s="147"/>
    </row>
    <row r="313" spans="1:38" ht="15.75" customHeight="1">
      <c r="A313" s="17"/>
      <c r="B313" s="17"/>
      <c r="C313" s="17"/>
      <c r="D313" s="17"/>
      <c r="E313" s="14"/>
      <c r="F313" s="14"/>
      <c r="G313" s="14"/>
      <c r="H313" s="14"/>
      <c r="I313" s="126"/>
      <c r="J313" s="126"/>
      <c r="K313" s="152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92"/>
      <c r="Y313" s="20"/>
      <c r="Z313" s="92"/>
      <c r="AA313" s="23"/>
      <c r="AB313" s="24"/>
      <c r="AC313" s="145"/>
      <c r="AD313" s="146"/>
      <c r="AE313" s="146"/>
      <c r="AF313" s="147"/>
      <c r="AG313" s="147"/>
      <c r="AH313" s="147"/>
      <c r="AI313" s="147"/>
      <c r="AJ313" s="147"/>
      <c r="AK313" s="147"/>
      <c r="AL313" s="147"/>
    </row>
    <row r="314" spans="1:38" ht="15.75" customHeight="1">
      <c r="A314" s="17"/>
      <c r="B314" s="17"/>
      <c r="C314" s="17"/>
      <c r="D314" s="17"/>
      <c r="E314" s="25" t="s">
        <v>117</v>
      </c>
      <c r="F314" s="18"/>
      <c r="G314" s="22"/>
      <c r="H314" s="14" t="s">
        <v>11</v>
      </c>
      <c r="I314" s="126"/>
      <c r="J314" s="126"/>
      <c r="K314" s="92"/>
      <c r="L314" s="26">
        <f>SUMIF($H$304:$H$316,"$$$",L$304:L$316)+L312</f>
        <v>0</v>
      </c>
      <c r="M314" s="26">
        <f t="shared" ref="M314:W314" si="660">SUMIF($H$304:$H$316,"$$$",M$304:M$316)+M312</f>
        <v>0</v>
      </c>
      <c r="N314" s="26">
        <f t="shared" si="660"/>
        <v>0</v>
      </c>
      <c r="O314" s="26">
        <f t="shared" si="660"/>
        <v>0</v>
      </c>
      <c r="P314" s="26">
        <f t="shared" si="660"/>
        <v>0</v>
      </c>
      <c r="Q314" s="26">
        <f t="shared" si="660"/>
        <v>0</v>
      </c>
      <c r="R314" s="26">
        <f t="shared" si="660"/>
        <v>0</v>
      </c>
      <c r="S314" s="26">
        <f t="shared" si="660"/>
        <v>0</v>
      </c>
      <c r="T314" s="26">
        <f t="shared" si="660"/>
        <v>0</v>
      </c>
      <c r="U314" s="26">
        <f t="shared" si="660"/>
        <v>0</v>
      </c>
      <c r="V314" s="26">
        <f t="shared" si="660"/>
        <v>0</v>
      </c>
      <c r="W314" s="26">
        <f t="shared" si="660"/>
        <v>0</v>
      </c>
      <c r="X314" s="92"/>
      <c r="Y314" s="26">
        <f>SUM(L314:W314)</f>
        <v>0</v>
      </c>
      <c r="Z314" s="92"/>
      <c r="AA314" s="28">
        <f>IFERROR($Y314/$Y$314, 0)</f>
        <v>0</v>
      </c>
      <c r="AB314" s="29">
        <f>IFERROR($Y314/$Y$398, 0)</f>
        <v>0</v>
      </c>
      <c r="AC314" s="145"/>
      <c r="AD314" s="146"/>
      <c r="AE314" s="146"/>
      <c r="AF314" s="147"/>
      <c r="AG314" s="147"/>
      <c r="AH314" s="147"/>
      <c r="AI314" s="147"/>
      <c r="AJ314" s="147"/>
      <c r="AK314" s="147"/>
      <c r="AL314" s="147"/>
    </row>
    <row r="315" spans="1:38" ht="15.75" customHeight="1" thickBot="1">
      <c r="A315" s="135"/>
      <c r="B315" s="135"/>
      <c r="C315" s="135"/>
      <c r="D315" s="135"/>
      <c r="E315" s="136" t="s">
        <v>118</v>
      </c>
      <c r="F315" s="137"/>
      <c r="G315" s="138"/>
      <c r="H315" s="139" t="s">
        <v>417</v>
      </c>
      <c r="I315" s="140"/>
      <c r="J315" s="140"/>
      <c r="K315" s="141"/>
      <c r="L315" s="142">
        <f t="shared" ref="L315:W315" si="661">L314*(1-(0.15-$H$3))</f>
        <v>0</v>
      </c>
      <c r="M315" s="142">
        <f t="shared" si="661"/>
        <v>0</v>
      </c>
      <c r="N315" s="142">
        <f t="shared" si="661"/>
        <v>0</v>
      </c>
      <c r="O315" s="142">
        <f t="shared" ref="O315:P315" si="662">O314*(1-(0.15-$H$3))</f>
        <v>0</v>
      </c>
      <c r="P315" s="142">
        <f t="shared" si="662"/>
        <v>0</v>
      </c>
      <c r="Q315" s="142">
        <f t="shared" ref="Q315" si="663">Q314*(1-(0.15-$H$3))</f>
        <v>0</v>
      </c>
      <c r="R315" s="142">
        <f t="shared" si="661"/>
        <v>0</v>
      </c>
      <c r="S315" s="142">
        <f t="shared" si="661"/>
        <v>0</v>
      </c>
      <c r="T315" s="142">
        <f t="shared" si="661"/>
        <v>0</v>
      </c>
      <c r="U315" s="142">
        <f t="shared" si="661"/>
        <v>0</v>
      </c>
      <c r="V315" s="142">
        <f t="shared" si="661"/>
        <v>0</v>
      </c>
      <c r="W315" s="142">
        <f t="shared" si="661"/>
        <v>0</v>
      </c>
      <c r="X315" s="141"/>
      <c r="Y315" s="142">
        <f>SUM(L315:W315)</f>
        <v>0</v>
      </c>
      <c r="Z315" s="141"/>
      <c r="AA315" s="143"/>
      <c r="AB315" s="144"/>
      <c r="AC315" s="145"/>
      <c r="AD315" s="146"/>
      <c r="AE315" s="146"/>
      <c r="AF315" s="147"/>
      <c r="AG315" s="147"/>
      <c r="AH315" s="147"/>
      <c r="AI315" s="147"/>
      <c r="AJ315" s="147"/>
      <c r="AK315" s="147"/>
      <c r="AL315" s="147"/>
    </row>
    <row r="316" spans="1:38" ht="15.75" customHeight="1" thickTop="1">
      <c r="A316" s="251" t="s">
        <v>36</v>
      </c>
      <c r="B316" s="240"/>
      <c r="C316" s="240"/>
      <c r="D316" s="240"/>
      <c r="E316" s="240" t="s">
        <v>428</v>
      </c>
      <c r="F316" s="240" t="s">
        <v>442</v>
      </c>
      <c r="G316" s="240"/>
      <c r="H316" s="240"/>
      <c r="I316" s="246"/>
      <c r="J316" s="246" t="s">
        <v>435</v>
      </c>
      <c r="K316" s="240"/>
      <c r="L316" s="6" t="str">
        <f t="shared" ref="L316:W316" si="664">CONCATENATE("Week ",L$2)</f>
        <v>Week 12</v>
      </c>
      <c r="M316" s="6" t="str">
        <f t="shared" si="664"/>
        <v>Week 11</v>
      </c>
      <c r="N316" s="6" t="str">
        <f t="shared" si="664"/>
        <v>Week 10</v>
      </c>
      <c r="O316" s="6" t="str">
        <f t="shared" si="664"/>
        <v>Week 9</v>
      </c>
      <c r="P316" s="6" t="str">
        <f t="shared" si="664"/>
        <v>Week 8</v>
      </c>
      <c r="Q316" s="6" t="str">
        <f t="shared" si="664"/>
        <v>Week 7</v>
      </c>
      <c r="R316" s="6" t="str">
        <f t="shared" si="664"/>
        <v>Week 6</v>
      </c>
      <c r="S316" s="6" t="str">
        <f t="shared" si="664"/>
        <v>Week 5</v>
      </c>
      <c r="T316" s="6" t="str">
        <f t="shared" si="664"/>
        <v>Week 4</v>
      </c>
      <c r="U316" s="6" t="str">
        <f t="shared" si="664"/>
        <v>Week 3</v>
      </c>
      <c r="V316" s="6" t="str">
        <f t="shared" si="664"/>
        <v>Week 2</v>
      </c>
      <c r="W316" s="6" t="str">
        <f t="shared" si="664"/>
        <v>Week 1</v>
      </c>
      <c r="X316" s="240"/>
      <c r="Y316" s="240" t="s">
        <v>11</v>
      </c>
      <c r="Z316" s="240"/>
      <c r="AA316" s="240" t="s">
        <v>119</v>
      </c>
      <c r="AB316" s="242" t="s">
        <v>13</v>
      </c>
      <c r="AC316" s="143"/>
      <c r="AD316" s="148"/>
      <c r="AE316" s="148"/>
      <c r="AF316" s="149"/>
      <c r="AG316" s="149"/>
      <c r="AH316" s="149"/>
      <c r="AI316" s="149"/>
      <c r="AJ316" s="149"/>
      <c r="AK316" s="149"/>
      <c r="AL316" s="149"/>
    </row>
    <row r="317" spans="1:38" ht="15.75" customHeight="1" thickBot="1">
      <c r="A317" s="252"/>
      <c r="B317" s="241"/>
      <c r="C317" s="253"/>
      <c r="D317" s="253"/>
      <c r="E317" s="241"/>
      <c r="F317" s="253"/>
      <c r="G317" s="253"/>
      <c r="H317" s="241"/>
      <c r="I317" s="247"/>
      <c r="J317" s="247"/>
      <c r="K317" s="241"/>
      <c r="L317" s="10" t="str">
        <f t="shared" ref="L317:W317" si="665">TEXT(L$3, "mmm d") &amp; " - " &amp; TEXT(L$4, "mmm d")</f>
        <v>Aug 11 - Aug 17</v>
      </c>
      <c r="M317" s="10" t="str">
        <f t="shared" si="665"/>
        <v>Aug 18 - Aug 24</v>
      </c>
      <c r="N317" s="10" t="str">
        <f t="shared" si="665"/>
        <v>Aug 25 - Aug 31</v>
      </c>
      <c r="O317" s="10" t="str">
        <f t="shared" si="665"/>
        <v>Sep 1 - Sep 7</v>
      </c>
      <c r="P317" s="10" t="str">
        <f t="shared" si="665"/>
        <v>Sep 8 - Sep 14</v>
      </c>
      <c r="Q317" s="10" t="str">
        <f t="shared" si="665"/>
        <v>Sep 15 - Sep 21</v>
      </c>
      <c r="R317" s="10" t="str">
        <f t="shared" si="665"/>
        <v>Sep 22 - Sep 28</v>
      </c>
      <c r="S317" s="10" t="str">
        <f t="shared" si="665"/>
        <v>Sep 29 - Oct 5</v>
      </c>
      <c r="T317" s="10" t="str">
        <f t="shared" si="665"/>
        <v>Oct 6 - Oct 12</v>
      </c>
      <c r="U317" s="10" t="str">
        <f t="shared" si="665"/>
        <v>Oct 13 - Oct 19</v>
      </c>
      <c r="V317" s="10" t="str">
        <f t="shared" si="665"/>
        <v>Oct 20 - Oct 26</v>
      </c>
      <c r="W317" s="10" t="str">
        <f t="shared" si="665"/>
        <v>Oct 27 - Nov 3</v>
      </c>
      <c r="X317" s="241"/>
      <c r="Y317" s="241"/>
      <c r="Z317" s="241"/>
      <c r="AA317" s="241"/>
      <c r="AB317" s="243"/>
      <c r="AC317" s="143"/>
      <c r="AD317" s="148"/>
      <c r="AE317" s="150" t="s">
        <v>438</v>
      </c>
      <c r="AF317" s="150" t="s">
        <v>439</v>
      </c>
      <c r="AG317" s="151" t="s">
        <v>749</v>
      </c>
      <c r="AH317" s="150" t="s">
        <v>440</v>
      </c>
      <c r="AI317" s="150" t="s">
        <v>2</v>
      </c>
      <c r="AJ317" s="150" t="s">
        <v>15</v>
      </c>
      <c r="AK317" s="149"/>
      <c r="AL317" s="149"/>
    </row>
    <row r="318" spans="1:38" ht="15.75" customHeight="1" thickTop="1">
      <c r="A318" s="17"/>
      <c r="B318" s="17"/>
      <c r="C318" s="17"/>
      <c r="D318" s="17"/>
      <c r="E318" s="14"/>
      <c r="F318" s="14"/>
      <c r="G318" s="14"/>
      <c r="H318" s="14" t="s">
        <v>57</v>
      </c>
      <c r="I318" s="233"/>
      <c r="J318" s="237" t="s">
        <v>436</v>
      </c>
      <c r="K318" s="152"/>
      <c r="L318" s="88">
        <f>(L320*1000)/$A319</f>
        <v>0</v>
      </c>
      <c r="M318" s="88">
        <f t="shared" ref="M318:W318" si="666">(M320*1000)/$A319</f>
        <v>0</v>
      </c>
      <c r="N318" s="88">
        <f t="shared" si="666"/>
        <v>0</v>
      </c>
      <c r="O318" s="88">
        <f t="shared" ref="O318:P318" si="667">(O320*1000)/$A319</f>
        <v>0</v>
      </c>
      <c r="P318" s="88">
        <f t="shared" si="667"/>
        <v>0</v>
      </c>
      <c r="Q318" s="88">
        <f t="shared" ref="Q318" si="668">(Q320*1000)/$A319</f>
        <v>0</v>
      </c>
      <c r="R318" s="88">
        <f t="shared" si="666"/>
        <v>0</v>
      </c>
      <c r="S318" s="88">
        <f t="shared" si="666"/>
        <v>0</v>
      </c>
      <c r="T318" s="88">
        <f t="shared" si="666"/>
        <v>0</v>
      </c>
      <c r="U318" s="88">
        <f t="shared" si="666"/>
        <v>0</v>
      </c>
      <c r="V318" s="88">
        <f t="shared" si="666"/>
        <v>0</v>
      </c>
      <c r="W318" s="88">
        <f t="shared" si="666"/>
        <v>0</v>
      </c>
      <c r="X318" s="92"/>
      <c r="Y318" s="88">
        <f t="shared" ref="Y318:Y326" si="669">SUM(L318:W318)</f>
        <v>0</v>
      </c>
      <c r="Z318" s="92"/>
      <c r="AA318" s="244">
        <f>IFERROR($Y320/$Y$330, 0)</f>
        <v>0</v>
      </c>
      <c r="AB318" s="245">
        <f>IFERROR($Y320/$Y$398, 0)</f>
        <v>0</v>
      </c>
      <c r="AC318" s="145"/>
      <c r="AD318" s="146"/>
      <c r="AE318" s="146"/>
      <c r="AF318" s="147"/>
      <c r="AG318" s="147"/>
      <c r="AH318" s="147"/>
      <c r="AI318" s="147"/>
      <c r="AJ318" s="147"/>
      <c r="AK318" s="147"/>
      <c r="AL318" s="147"/>
    </row>
    <row r="319" spans="1:38" ht="15.75" customHeight="1">
      <c r="A319" s="17">
        <f>VLOOKUP($E319,'Digital Targeting'!$B$524:$E$892,4,FALSE)</f>
        <v>20</v>
      </c>
      <c r="B319" s="17"/>
      <c r="C319" s="95"/>
      <c r="D319" s="95"/>
      <c r="E319" s="14" t="s">
        <v>452</v>
      </c>
      <c r="F319" s="99"/>
      <c r="G319" s="88" t="e">
        <f>VLOOKUP($F319,'Digital Targeting'!$A$21:$G$100,5,FALSE)*I319</f>
        <v>#N/A</v>
      </c>
      <c r="H319" s="14" t="s">
        <v>420</v>
      </c>
      <c r="I319" s="235" t="e">
        <f>VLOOKUP(F319,'Digital Targeting'!$A$21:$M$214,10,FALSE)</f>
        <v>#N/A</v>
      </c>
      <c r="J319" s="237"/>
      <c r="K319" s="152"/>
      <c r="L319" s="89">
        <f>IFERROR(L318/$G319,0)</f>
        <v>0</v>
      </c>
      <c r="M319" s="89">
        <f t="shared" ref="M319" si="670">IFERROR(M318/$G319,0)</f>
        <v>0</v>
      </c>
      <c r="N319" s="89">
        <f t="shared" ref="N319" si="671">IFERROR(N318/$G319,0)</f>
        <v>0</v>
      </c>
      <c r="O319" s="89">
        <f t="shared" ref="O319" si="672">IFERROR(O318/$G319,0)</f>
        <v>0</v>
      </c>
      <c r="P319" s="89">
        <f t="shared" ref="P319" si="673">IFERROR(P318/$G319,0)</f>
        <v>0</v>
      </c>
      <c r="Q319" s="89">
        <f t="shared" ref="Q319" si="674">IFERROR(Q318/$G319,0)</f>
        <v>0</v>
      </c>
      <c r="R319" s="89">
        <f t="shared" ref="R319" si="675">IFERROR(R318/$G319,0)</f>
        <v>0</v>
      </c>
      <c r="S319" s="89">
        <f t="shared" ref="S319" si="676">IFERROR(S318/$G319,0)</f>
        <v>0</v>
      </c>
      <c r="T319" s="89">
        <f t="shared" ref="T319" si="677">IFERROR(T318/$G319,0)</f>
        <v>0</v>
      </c>
      <c r="U319" s="89">
        <f t="shared" ref="U319" si="678">IFERROR(U318/$G319,0)</f>
        <v>0</v>
      </c>
      <c r="V319" s="89">
        <f t="shared" ref="V319" si="679">IFERROR(V318/$G319,0)</f>
        <v>0</v>
      </c>
      <c r="W319" s="89">
        <f t="shared" ref="W319" si="680">IFERROR(W318/$G319,0)</f>
        <v>0</v>
      </c>
      <c r="X319" s="92"/>
      <c r="Y319" s="90">
        <f t="shared" si="669"/>
        <v>0</v>
      </c>
      <c r="Z319" s="92"/>
      <c r="AA319" s="238"/>
      <c r="AB319" s="239"/>
      <c r="AC319" s="145"/>
      <c r="AD319" s="146"/>
      <c r="AE319" s="153" t="e">
        <f>G319/1000</f>
        <v>#N/A</v>
      </c>
      <c r="AF319" s="153">
        <v>9</v>
      </c>
      <c r="AG319" s="153" t="e">
        <f>AF319*AE319</f>
        <v>#N/A</v>
      </c>
      <c r="AH319" s="154">
        <f>$A319</f>
        <v>20</v>
      </c>
      <c r="AI319" s="155">
        <f>($F$2-$F$3+1)/7</f>
        <v>12</v>
      </c>
      <c r="AJ319" s="154" t="e">
        <f>(AG319*AH319)/AI319</f>
        <v>#N/A</v>
      </c>
      <c r="AK319" s="147"/>
      <c r="AL319" s="147"/>
    </row>
    <row r="320" spans="1:38" ht="15.75" customHeight="1">
      <c r="F320" s="156"/>
      <c r="G320" s="22"/>
      <c r="H320" s="14" t="s">
        <v>15</v>
      </c>
      <c r="I320" s="233"/>
      <c r="J320" s="237"/>
      <c r="K320" s="152"/>
      <c r="L320" s="19">
        <v>0</v>
      </c>
      <c r="M320" s="19">
        <v>0</v>
      </c>
      <c r="N320" s="19">
        <v>0</v>
      </c>
      <c r="O320" s="19">
        <v>0</v>
      </c>
      <c r="P320" s="19">
        <v>0</v>
      </c>
      <c r="Q320" s="19">
        <v>0</v>
      </c>
      <c r="R320" s="19">
        <v>0</v>
      </c>
      <c r="S320" s="19">
        <v>0</v>
      </c>
      <c r="T320" s="19">
        <v>0</v>
      </c>
      <c r="U320" s="19">
        <v>0</v>
      </c>
      <c r="V320" s="19">
        <v>0</v>
      </c>
      <c r="W320" s="19">
        <v>0</v>
      </c>
      <c r="X320" s="92"/>
      <c r="Y320" s="20">
        <f t="shared" si="669"/>
        <v>0</v>
      </c>
      <c r="Z320" s="92"/>
      <c r="AA320" s="238"/>
      <c r="AB320" s="239"/>
      <c r="AC320" s="145"/>
      <c r="AD320" s="146"/>
      <c r="AE320" s="146"/>
      <c r="AF320" s="147"/>
      <c r="AG320" s="147"/>
      <c r="AH320" s="147"/>
      <c r="AI320" s="147"/>
      <c r="AJ320" s="147"/>
      <c r="AK320" s="147"/>
      <c r="AL320" s="147"/>
    </row>
    <row r="321" spans="1:38" ht="15.75" customHeight="1">
      <c r="A321" s="17"/>
      <c r="B321" s="17"/>
      <c r="C321" s="17"/>
      <c r="D321" s="17"/>
      <c r="E321" s="14"/>
      <c r="F321" s="100"/>
      <c r="G321" s="14"/>
      <c r="H321" s="14" t="s">
        <v>57</v>
      </c>
      <c r="I321" s="233"/>
      <c r="J321" s="237" t="s">
        <v>436</v>
      </c>
      <c r="K321" s="152"/>
      <c r="L321" s="88">
        <f>(L323*1000)/$A322</f>
        <v>0</v>
      </c>
      <c r="M321" s="88">
        <f t="shared" ref="M321:W321" si="681">(M323*1000)/$A322</f>
        <v>0</v>
      </c>
      <c r="N321" s="88">
        <f t="shared" si="681"/>
        <v>0</v>
      </c>
      <c r="O321" s="88">
        <f t="shared" ref="O321:P321" si="682">(O323*1000)/$A322</f>
        <v>0</v>
      </c>
      <c r="P321" s="88">
        <f t="shared" si="682"/>
        <v>0</v>
      </c>
      <c r="Q321" s="88">
        <f t="shared" ref="Q321" si="683">(Q323*1000)/$A322</f>
        <v>0</v>
      </c>
      <c r="R321" s="88">
        <f t="shared" si="681"/>
        <v>0</v>
      </c>
      <c r="S321" s="88">
        <f t="shared" si="681"/>
        <v>0</v>
      </c>
      <c r="T321" s="88">
        <f t="shared" si="681"/>
        <v>0</v>
      </c>
      <c r="U321" s="88">
        <f t="shared" si="681"/>
        <v>0</v>
      </c>
      <c r="V321" s="88">
        <f t="shared" si="681"/>
        <v>0</v>
      </c>
      <c r="W321" s="88">
        <f t="shared" si="681"/>
        <v>0</v>
      </c>
      <c r="X321" s="92"/>
      <c r="Y321" s="88">
        <f t="shared" si="669"/>
        <v>0</v>
      </c>
      <c r="Z321" s="92"/>
      <c r="AA321" s="238">
        <f>IFERROR($Y323/$Y$330, 0)</f>
        <v>0</v>
      </c>
      <c r="AB321" s="239">
        <f>IFERROR($Y323/$Y$398, 0)</f>
        <v>0</v>
      </c>
      <c r="AC321" s="145"/>
      <c r="AD321" s="146"/>
      <c r="AE321" s="146"/>
      <c r="AF321" s="147"/>
      <c r="AG321" s="147"/>
      <c r="AH321" s="147"/>
      <c r="AI321" s="147"/>
      <c r="AJ321" s="147"/>
      <c r="AK321" s="147"/>
      <c r="AL321" s="147"/>
    </row>
    <row r="322" spans="1:38" ht="15.75" customHeight="1">
      <c r="A322" s="17">
        <f>VLOOKUP($E322,'Digital Targeting'!$B$524:$E$892,4,FALSE)</f>
        <v>23.53</v>
      </c>
      <c r="B322" s="17"/>
      <c r="C322" s="95"/>
      <c r="D322" s="95"/>
      <c r="E322" s="14" t="s">
        <v>539</v>
      </c>
      <c r="F322" s="99"/>
      <c r="G322" s="88" t="e">
        <f>VLOOKUP($F322,'Digital Targeting'!$A$21:$G$100,5,FALSE)*I322</f>
        <v>#N/A</v>
      </c>
      <c r="H322" s="14" t="s">
        <v>420</v>
      </c>
      <c r="I322" s="235" t="e">
        <f>VLOOKUP(F322,'Digital Targeting'!$A$21:$M$214,10,FALSE)</f>
        <v>#N/A</v>
      </c>
      <c r="J322" s="237"/>
      <c r="K322" s="152"/>
      <c r="L322" s="89">
        <f>IFERROR(L321/$G322,0)</f>
        <v>0</v>
      </c>
      <c r="M322" s="89">
        <f t="shared" ref="M322" si="684">IFERROR(M321/$G322,0)</f>
        <v>0</v>
      </c>
      <c r="N322" s="89">
        <f t="shared" ref="N322" si="685">IFERROR(N321/$G322,0)</f>
        <v>0</v>
      </c>
      <c r="O322" s="89">
        <f t="shared" ref="O322" si="686">IFERROR(O321/$G322,0)</f>
        <v>0</v>
      </c>
      <c r="P322" s="89">
        <f t="shared" ref="P322" si="687">IFERROR(P321/$G322,0)</f>
        <v>0</v>
      </c>
      <c r="Q322" s="89">
        <f t="shared" ref="Q322" si="688">IFERROR(Q321/$G322,0)</f>
        <v>0</v>
      </c>
      <c r="R322" s="89">
        <f t="shared" ref="R322" si="689">IFERROR(R321/$G322,0)</f>
        <v>0</v>
      </c>
      <c r="S322" s="89">
        <f t="shared" ref="S322" si="690">IFERROR(S321/$G322,0)</f>
        <v>0</v>
      </c>
      <c r="T322" s="89">
        <f t="shared" ref="T322" si="691">IFERROR(T321/$G322,0)</f>
        <v>0</v>
      </c>
      <c r="U322" s="89">
        <f t="shared" ref="U322" si="692">IFERROR(U321/$G322,0)</f>
        <v>0</v>
      </c>
      <c r="V322" s="89">
        <f t="shared" ref="V322" si="693">IFERROR(V321/$G322,0)</f>
        <v>0</v>
      </c>
      <c r="W322" s="89">
        <f t="shared" ref="W322" si="694">IFERROR(W321/$G322,0)</f>
        <v>0</v>
      </c>
      <c r="X322" s="92"/>
      <c r="Y322" s="90">
        <f t="shared" si="669"/>
        <v>0</v>
      </c>
      <c r="Z322" s="92"/>
      <c r="AA322" s="238"/>
      <c r="AB322" s="239"/>
      <c r="AC322" s="145"/>
      <c r="AD322" s="146"/>
      <c r="AE322" s="153" t="e">
        <f>G322/1000</f>
        <v>#N/A</v>
      </c>
      <c r="AF322" s="153">
        <v>5</v>
      </c>
      <c r="AG322" s="153" t="e">
        <f>AF322*AE322</f>
        <v>#N/A</v>
      </c>
      <c r="AH322" s="154">
        <f>$A322</f>
        <v>23.53</v>
      </c>
      <c r="AI322" s="155">
        <f>($F$2-$F$3+1)/7</f>
        <v>12</v>
      </c>
      <c r="AJ322" s="154" t="e">
        <f>(AG322*AH322)/AI322</f>
        <v>#N/A</v>
      </c>
      <c r="AK322" s="147"/>
      <c r="AL322" s="147"/>
    </row>
    <row r="323" spans="1:38" ht="15.75" customHeight="1">
      <c r="F323" s="156"/>
      <c r="G323" s="22"/>
      <c r="H323" s="14" t="s">
        <v>15</v>
      </c>
      <c r="I323" s="233"/>
      <c r="J323" s="237"/>
      <c r="K323" s="152"/>
      <c r="L323" s="19">
        <v>0</v>
      </c>
      <c r="M323" s="19">
        <v>0</v>
      </c>
      <c r="N323" s="19">
        <v>0</v>
      </c>
      <c r="O323" s="19">
        <v>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92"/>
      <c r="Y323" s="20">
        <f t="shared" si="669"/>
        <v>0</v>
      </c>
      <c r="Z323" s="92"/>
      <c r="AA323" s="238"/>
      <c r="AB323" s="239"/>
      <c r="AC323" s="145"/>
      <c r="AD323" s="146"/>
      <c r="AE323" s="146"/>
      <c r="AF323" s="147"/>
      <c r="AG323" s="147"/>
      <c r="AH323" s="147"/>
      <c r="AI323" s="147"/>
      <c r="AJ323" s="147"/>
      <c r="AK323" s="147"/>
      <c r="AL323" s="147"/>
    </row>
    <row r="324" spans="1:38" ht="15.75" customHeight="1">
      <c r="A324" s="17"/>
      <c r="B324" s="17"/>
      <c r="C324" s="17"/>
      <c r="D324" s="17"/>
      <c r="E324" s="14"/>
      <c r="F324" s="100"/>
      <c r="G324" s="14"/>
      <c r="H324" s="14" t="s">
        <v>57</v>
      </c>
      <c r="I324" s="233"/>
      <c r="J324" s="237" t="s">
        <v>436</v>
      </c>
      <c r="K324" s="152"/>
      <c r="L324" s="88">
        <f>(L326*1000)/$A325</f>
        <v>0</v>
      </c>
      <c r="M324" s="88">
        <f t="shared" ref="M324:W324" si="695">(M326*1000)/$A325</f>
        <v>0</v>
      </c>
      <c r="N324" s="88">
        <f t="shared" si="695"/>
        <v>0</v>
      </c>
      <c r="O324" s="88">
        <f t="shared" ref="O324:P324" si="696">(O326*1000)/$A325</f>
        <v>0</v>
      </c>
      <c r="P324" s="88">
        <f t="shared" si="696"/>
        <v>0</v>
      </c>
      <c r="Q324" s="88">
        <f t="shared" ref="Q324" si="697">(Q326*1000)/$A325</f>
        <v>0</v>
      </c>
      <c r="R324" s="88">
        <f t="shared" si="695"/>
        <v>0</v>
      </c>
      <c r="S324" s="88">
        <f t="shared" si="695"/>
        <v>0</v>
      </c>
      <c r="T324" s="88">
        <f t="shared" si="695"/>
        <v>0</v>
      </c>
      <c r="U324" s="88">
        <f t="shared" si="695"/>
        <v>0</v>
      </c>
      <c r="V324" s="88">
        <f t="shared" si="695"/>
        <v>0</v>
      </c>
      <c r="W324" s="88">
        <f t="shared" si="695"/>
        <v>0</v>
      </c>
      <c r="X324" s="92"/>
      <c r="Y324" s="88">
        <f t="shared" si="669"/>
        <v>0</v>
      </c>
      <c r="Z324" s="92"/>
      <c r="AA324" s="238">
        <f>IFERROR($Y326/$Y$330, 0)</f>
        <v>0</v>
      </c>
      <c r="AB324" s="239">
        <f>IFERROR($Y326/$Y$398, 0)</f>
        <v>0</v>
      </c>
      <c r="AC324" s="145"/>
      <c r="AD324" s="146"/>
      <c r="AE324" s="146"/>
      <c r="AF324" s="147"/>
      <c r="AG324" s="147"/>
      <c r="AH324" s="147"/>
      <c r="AI324" s="147"/>
      <c r="AJ324" s="147"/>
      <c r="AK324" s="147"/>
      <c r="AL324" s="147"/>
    </row>
    <row r="325" spans="1:38" ht="15.75" customHeight="1">
      <c r="A325" s="17">
        <f>VLOOKUP($E325,'Digital Targeting'!$B$524:$E$892,4,FALSE)</f>
        <v>5.88</v>
      </c>
      <c r="B325" s="17"/>
      <c r="C325" s="95"/>
      <c r="D325" s="95"/>
      <c r="E325" s="14" t="s">
        <v>454</v>
      </c>
      <c r="F325" s="99"/>
      <c r="G325" s="88" t="e">
        <f>VLOOKUP($F325,'Digital Targeting'!$A$21:$G$100,5,FALSE)*I325</f>
        <v>#N/A</v>
      </c>
      <c r="H325" s="14" t="s">
        <v>420</v>
      </c>
      <c r="I325" s="235" t="e">
        <f>VLOOKUP(F325,'Digital Targeting'!$A$21:$M$214,10,FALSE)</f>
        <v>#N/A</v>
      </c>
      <c r="J325" s="237"/>
      <c r="K325" s="152"/>
      <c r="L325" s="89">
        <f>IFERROR(L324/$G325,0)</f>
        <v>0</v>
      </c>
      <c r="M325" s="89">
        <f t="shared" ref="M325" si="698">IFERROR(M324/$G325,0)</f>
        <v>0</v>
      </c>
      <c r="N325" s="89">
        <f t="shared" ref="N325" si="699">IFERROR(N324/$G325,0)</f>
        <v>0</v>
      </c>
      <c r="O325" s="89">
        <f t="shared" ref="O325" si="700">IFERROR(O324/$G325,0)</f>
        <v>0</v>
      </c>
      <c r="P325" s="89">
        <f t="shared" ref="P325" si="701">IFERROR(P324/$G325,0)</f>
        <v>0</v>
      </c>
      <c r="Q325" s="89">
        <f t="shared" ref="Q325" si="702">IFERROR(Q324/$G325,0)</f>
        <v>0</v>
      </c>
      <c r="R325" s="89">
        <f t="shared" ref="R325" si="703">IFERROR(R324/$G325,0)</f>
        <v>0</v>
      </c>
      <c r="S325" s="89">
        <f t="shared" ref="S325" si="704">IFERROR(S324/$G325,0)</f>
        <v>0</v>
      </c>
      <c r="T325" s="89">
        <f t="shared" ref="T325" si="705">IFERROR(T324/$G325,0)</f>
        <v>0</v>
      </c>
      <c r="U325" s="89">
        <f t="shared" ref="U325" si="706">IFERROR(U324/$G325,0)</f>
        <v>0</v>
      </c>
      <c r="V325" s="89">
        <f t="shared" ref="V325" si="707">IFERROR(V324/$G325,0)</f>
        <v>0</v>
      </c>
      <c r="W325" s="89">
        <f t="shared" ref="W325" si="708">IFERROR(W324/$G325,0)</f>
        <v>0</v>
      </c>
      <c r="X325" s="92"/>
      <c r="Y325" s="90">
        <f t="shared" si="669"/>
        <v>0</v>
      </c>
      <c r="Z325" s="92"/>
      <c r="AA325" s="238"/>
      <c r="AB325" s="239"/>
      <c r="AC325" s="145"/>
      <c r="AD325" s="146"/>
      <c r="AE325" s="153" t="e">
        <f>G325/1000</f>
        <v>#N/A</v>
      </c>
      <c r="AF325" s="153">
        <v>5</v>
      </c>
      <c r="AG325" s="153" t="e">
        <f>AF325*AE325</f>
        <v>#N/A</v>
      </c>
      <c r="AH325" s="154">
        <f>$A325</f>
        <v>5.88</v>
      </c>
      <c r="AI325" s="155">
        <f>($F$2-$F$3+1)/7</f>
        <v>12</v>
      </c>
      <c r="AJ325" s="154" t="e">
        <f>(AG325*AH325)/AI325</f>
        <v>#N/A</v>
      </c>
      <c r="AK325" s="147"/>
      <c r="AL325" s="147"/>
    </row>
    <row r="326" spans="1:38" ht="15.75" customHeight="1">
      <c r="F326" s="156"/>
      <c r="G326" s="22"/>
      <c r="H326" s="14" t="s">
        <v>15</v>
      </c>
      <c r="I326" s="233"/>
      <c r="J326" s="237"/>
      <c r="K326" s="152"/>
      <c r="L326" s="19">
        <v>0</v>
      </c>
      <c r="M326" s="19">
        <v>0</v>
      </c>
      <c r="N326" s="19">
        <v>0</v>
      </c>
      <c r="O326" s="19">
        <v>0</v>
      </c>
      <c r="P326" s="19">
        <v>0</v>
      </c>
      <c r="Q326" s="19">
        <v>0</v>
      </c>
      <c r="R326" s="19">
        <v>0</v>
      </c>
      <c r="S326" s="19">
        <v>0</v>
      </c>
      <c r="T326" s="19">
        <v>0</v>
      </c>
      <c r="U326" s="19">
        <v>0</v>
      </c>
      <c r="V326" s="19">
        <v>0</v>
      </c>
      <c r="W326" s="19">
        <v>0</v>
      </c>
      <c r="X326" s="92"/>
      <c r="Y326" s="20">
        <f t="shared" si="669"/>
        <v>0</v>
      </c>
      <c r="Z326" s="92"/>
      <c r="AA326" s="238"/>
      <c r="AB326" s="239"/>
      <c r="AC326" s="145"/>
      <c r="AD326" s="146"/>
      <c r="AE326" s="146"/>
      <c r="AF326" s="147"/>
      <c r="AG326" s="147"/>
      <c r="AH326" s="147"/>
      <c r="AI326" s="147"/>
      <c r="AJ326" s="147"/>
      <c r="AK326" s="147"/>
      <c r="AL326" s="147"/>
    </row>
    <row r="327" spans="1:38" ht="15.75" customHeight="1">
      <c r="F327" s="156"/>
      <c r="G327" s="22"/>
      <c r="H327" s="14"/>
      <c r="I327" s="126"/>
      <c r="J327" s="126"/>
      <c r="K327" s="152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92"/>
      <c r="Y327" s="20"/>
      <c r="Z327" s="92"/>
      <c r="AA327" s="175"/>
      <c r="AB327" s="125"/>
      <c r="AC327" s="145"/>
      <c r="AD327" s="146"/>
      <c r="AE327" s="146"/>
      <c r="AF327" s="147"/>
      <c r="AG327" s="147"/>
      <c r="AH327" s="147"/>
      <c r="AI327" s="147"/>
      <c r="AJ327" s="147"/>
      <c r="AK327" s="147"/>
      <c r="AL327" s="147"/>
    </row>
    <row r="328" spans="1:38" ht="15.75" customHeight="1">
      <c r="A328" s="210">
        <v>0.55000000000000004</v>
      </c>
      <c r="E328" s="106" t="s">
        <v>429</v>
      </c>
      <c r="F328" s="94"/>
      <c r="G328" s="94"/>
      <c r="H328" s="211" t="s">
        <v>748</v>
      </c>
      <c r="I328" s="126"/>
      <c r="J328" s="126"/>
      <c r="K328" s="92"/>
      <c r="L328" s="212">
        <f t="shared" ref="L328:W328" si="709">(SUMIFS(L$317:L$332, $H$317:$H$332, "IMPs", $J$317:$J$332, "Yes") / 1000 * 0.55)</f>
        <v>0</v>
      </c>
      <c r="M328" s="212">
        <f t="shared" si="709"/>
        <v>0</v>
      </c>
      <c r="N328" s="212">
        <f t="shared" si="709"/>
        <v>0</v>
      </c>
      <c r="O328" s="212">
        <f t="shared" si="709"/>
        <v>0</v>
      </c>
      <c r="P328" s="212">
        <f t="shared" si="709"/>
        <v>0</v>
      </c>
      <c r="Q328" s="212">
        <f t="shared" si="709"/>
        <v>0</v>
      </c>
      <c r="R328" s="212">
        <f t="shared" si="709"/>
        <v>0</v>
      </c>
      <c r="S328" s="212">
        <f t="shared" si="709"/>
        <v>0</v>
      </c>
      <c r="T328" s="212">
        <f t="shared" si="709"/>
        <v>0</v>
      </c>
      <c r="U328" s="212">
        <f t="shared" si="709"/>
        <v>0</v>
      </c>
      <c r="V328" s="212">
        <f t="shared" si="709"/>
        <v>0</v>
      </c>
      <c r="W328" s="212">
        <f t="shared" si="709"/>
        <v>0</v>
      </c>
      <c r="X328" s="213"/>
      <c r="Y328" s="214">
        <f>SUM(L328:W328)</f>
        <v>0</v>
      </c>
      <c r="Z328" s="92"/>
      <c r="AA328" s="215">
        <f>IFERROR(Y328/Y330,0)</f>
        <v>0</v>
      </c>
      <c r="AB328" s="216">
        <f>IFERROR(Y328/Y$398,0)</f>
        <v>0</v>
      </c>
      <c r="AC328" s="145"/>
      <c r="AD328" s="146"/>
      <c r="AE328" s="146"/>
      <c r="AF328" s="147"/>
      <c r="AG328" s="147"/>
      <c r="AH328" s="147"/>
      <c r="AI328" s="147"/>
      <c r="AJ328" s="147"/>
      <c r="AK328" s="147"/>
      <c r="AL328" s="147"/>
    </row>
    <row r="329" spans="1:38" ht="15.75" customHeight="1">
      <c r="A329" s="17"/>
      <c r="B329" s="17"/>
      <c r="C329" s="17"/>
      <c r="D329" s="17"/>
      <c r="E329" s="14"/>
      <c r="F329" s="14"/>
      <c r="G329" s="14"/>
      <c r="H329" s="14"/>
      <c r="I329" s="126"/>
      <c r="J329" s="126"/>
      <c r="K329" s="92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92"/>
      <c r="Y329" s="20"/>
      <c r="Z329" s="92"/>
      <c r="AA329" s="23"/>
      <c r="AB329" s="24"/>
      <c r="AC329" s="145"/>
      <c r="AD329" s="146"/>
      <c r="AE329" s="146"/>
      <c r="AF329" s="147"/>
      <c r="AG329" s="147"/>
      <c r="AH329" s="147"/>
      <c r="AI329" s="147"/>
      <c r="AJ329" s="147"/>
      <c r="AK329" s="147"/>
      <c r="AL329" s="147"/>
    </row>
    <row r="330" spans="1:38" ht="15.75" customHeight="1">
      <c r="A330" s="17"/>
      <c r="B330" s="17"/>
      <c r="C330" s="17"/>
      <c r="D330" s="17"/>
      <c r="E330" s="25" t="s">
        <v>430</v>
      </c>
      <c r="F330" s="18"/>
      <c r="G330" s="22"/>
      <c r="H330" s="14" t="s">
        <v>11</v>
      </c>
      <c r="I330" s="126"/>
      <c r="J330" s="126"/>
      <c r="K330" s="92"/>
      <c r="L330" s="26">
        <f>SUMIF($H$317:$H$332,"$$$",L$317:L$332)+L328</f>
        <v>0</v>
      </c>
      <c r="M330" s="26">
        <f t="shared" ref="M330:W330" si="710">SUMIF($H$317:$H$332,"$$$",M$317:M$332)+M328</f>
        <v>0</v>
      </c>
      <c r="N330" s="26">
        <f t="shared" si="710"/>
        <v>0</v>
      </c>
      <c r="O330" s="26">
        <f t="shared" si="710"/>
        <v>0</v>
      </c>
      <c r="P330" s="26">
        <f t="shared" si="710"/>
        <v>0</v>
      </c>
      <c r="Q330" s="26">
        <f t="shared" si="710"/>
        <v>0</v>
      </c>
      <c r="R330" s="26">
        <f t="shared" si="710"/>
        <v>0</v>
      </c>
      <c r="S330" s="26">
        <f t="shared" si="710"/>
        <v>0</v>
      </c>
      <c r="T330" s="26">
        <f t="shared" si="710"/>
        <v>0</v>
      </c>
      <c r="U330" s="26">
        <f t="shared" si="710"/>
        <v>0</v>
      </c>
      <c r="V330" s="26">
        <f t="shared" si="710"/>
        <v>0</v>
      </c>
      <c r="W330" s="26">
        <f t="shared" si="710"/>
        <v>0</v>
      </c>
      <c r="X330" s="92"/>
      <c r="Y330" s="26">
        <f>SUM(L330:W330)</f>
        <v>0</v>
      </c>
      <c r="Z330" s="92"/>
      <c r="AA330" s="28">
        <f>IFERROR($Y330/$Y$330, 0)</f>
        <v>0</v>
      </c>
      <c r="AB330" s="29">
        <f>IFERROR($Y330/$Y$398, 0)</f>
        <v>0</v>
      </c>
      <c r="AC330" s="145"/>
      <c r="AD330" s="146"/>
      <c r="AE330" s="146"/>
      <c r="AF330" s="147"/>
      <c r="AG330" s="147"/>
      <c r="AH330" s="147"/>
      <c r="AI330" s="147"/>
      <c r="AJ330" s="147"/>
      <c r="AK330" s="147"/>
      <c r="AL330" s="147"/>
    </row>
    <row r="331" spans="1:38" ht="15.75" customHeight="1" thickBot="1">
      <c r="A331" s="135"/>
      <c r="B331" s="135"/>
      <c r="C331" s="135"/>
      <c r="D331" s="135"/>
      <c r="E331" s="136" t="s">
        <v>431</v>
      </c>
      <c r="F331" s="137"/>
      <c r="G331" s="138"/>
      <c r="H331" s="139" t="s">
        <v>417</v>
      </c>
      <c r="I331" s="140"/>
      <c r="J331" s="140"/>
      <c r="K331" s="141"/>
      <c r="L331" s="142">
        <f t="shared" ref="L331:W331" si="711">L330*(1-(0.15-$H$3))</f>
        <v>0</v>
      </c>
      <c r="M331" s="142">
        <f t="shared" si="711"/>
        <v>0</v>
      </c>
      <c r="N331" s="142">
        <f t="shared" si="711"/>
        <v>0</v>
      </c>
      <c r="O331" s="142">
        <f t="shared" ref="O331:P331" si="712">O330*(1-(0.15-$H$3))</f>
        <v>0</v>
      </c>
      <c r="P331" s="142">
        <f t="shared" si="712"/>
        <v>0</v>
      </c>
      <c r="Q331" s="142">
        <f t="shared" ref="Q331" si="713">Q330*(1-(0.15-$H$3))</f>
        <v>0</v>
      </c>
      <c r="R331" s="142">
        <f t="shared" si="711"/>
        <v>0</v>
      </c>
      <c r="S331" s="142">
        <f t="shared" si="711"/>
        <v>0</v>
      </c>
      <c r="T331" s="142">
        <f t="shared" si="711"/>
        <v>0</v>
      </c>
      <c r="U331" s="142">
        <f t="shared" si="711"/>
        <v>0</v>
      </c>
      <c r="V331" s="142">
        <f t="shared" si="711"/>
        <v>0</v>
      </c>
      <c r="W331" s="142">
        <f t="shared" si="711"/>
        <v>0</v>
      </c>
      <c r="X331" s="141"/>
      <c r="Y331" s="142">
        <f>SUM(L331:W331)</f>
        <v>0</v>
      </c>
      <c r="Z331" s="141"/>
      <c r="AA331" s="143"/>
      <c r="AB331" s="144"/>
      <c r="AC331" s="145"/>
      <c r="AD331" s="146"/>
      <c r="AE331" s="146"/>
      <c r="AF331" s="147"/>
      <c r="AG331" s="147"/>
      <c r="AH331" s="147"/>
      <c r="AI331" s="147"/>
      <c r="AJ331" s="147"/>
      <c r="AK331" s="147"/>
      <c r="AL331" s="147"/>
    </row>
    <row r="332" spans="1:38" ht="15.75" customHeight="1" thickTop="1">
      <c r="A332" s="251" t="s">
        <v>36</v>
      </c>
      <c r="B332" s="240"/>
      <c r="C332" s="240"/>
      <c r="D332" s="240"/>
      <c r="E332" s="240" t="s">
        <v>96</v>
      </c>
      <c r="F332" s="240" t="s">
        <v>442</v>
      </c>
      <c r="G332" s="240"/>
      <c r="H332" s="240"/>
      <c r="I332" s="246"/>
      <c r="J332" s="246" t="s">
        <v>435</v>
      </c>
      <c r="K332" s="240"/>
      <c r="L332" s="6" t="str">
        <f t="shared" ref="L332:W332" si="714">CONCATENATE("Week ",L$2)</f>
        <v>Week 12</v>
      </c>
      <c r="M332" s="6" t="str">
        <f t="shared" si="714"/>
        <v>Week 11</v>
      </c>
      <c r="N332" s="6" t="str">
        <f t="shared" si="714"/>
        <v>Week 10</v>
      </c>
      <c r="O332" s="6" t="str">
        <f t="shared" si="714"/>
        <v>Week 9</v>
      </c>
      <c r="P332" s="6" t="str">
        <f t="shared" si="714"/>
        <v>Week 8</v>
      </c>
      <c r="Q332" s="6" t="str">
        <f t="shared" si="714"/>
        <v>Week 7</v>
      </c>
      <c r="R332" s="6" t="str">
        <f t="shared" si="714"/>
        <v>Week 6</v>
      </c>
      <c r="S332" s="6" t="str">
        <f t="shared" si="714"/>
        <v>Week 5</v>
      </c>
      <c r="T332" s="6" t="str">
        <f t="shared" si="714"/>
        <v>Week 4</v>
      </c>
      <c r="U332" s="6" t="str">
        <f t="shared" si="714"/>
        <v>Week 3</v>
      </c>
      <c r="V332" s="6" t="str">
        <f t="shared" si="714"/>
        <v>Week 2</v>
      </c>
      <c r="W332" s="6" t="str">
        <f t="shared" si="714"/>
        <v>Week 1</v>
      </c>
      <c r="X332" s="240"/>
      <c r="Y332" s="240" t="s">
        <v>11</v>
      </c>
      <c r="Z332" s="240"/>
      <c r="AA332" s="240" t="s">
        <v>120</v>
      </c>
      <c r="AB332" s="242" t="s">
        <v>13</v>
      </c>
      <c r="AC332" s="143"/>
      <c r="AD332" s="148"/>
      <c r="AE332" s="148"/>
      <c r="AF332" s="149"/>
      <c r="AG332" s="149"/>
      <c r="AH332" s="149"/>
      <c r="AI332" s="149"/>
      <c r="AJ332" s="149"/>
      <c r="AK332" s="149"/>
      <c r="AL332" s="149"/>
    </row>
    <row r="333" spans="1:38" ht="15.75" customHeight="1" thickBot="1">
      <c r="A333" s="252"/>
      <c r="B333" s="241"/>
      <c r="C333" s="253"/>
      <c r="D333" s="253"/>
      <c r="E333" s="241"/>
      <c r="F333" s="253"/>
      <c r="G333" s="253"/>
      <c r="H333" s="241"/>
      <c r="I333" s="247"/>
      <c r="J333" s="247"/>
      <c r="K333" s="241"/>
      <c r="L333" s="10" t="str">
        <f t="shared" ref="L333:W333" si="715">TEXT(L$3, "mmm d") &amp; " - " &amp; TEXT(L$4, "mmm d")</f>
        <v>Aug 11 - Aug 17</v>
      </c>
      <c r="M333" s="10" t="str">
        <f t="shared" si="715"/>
        <v>Aug 18 - Aug 24</v>
      </c>
      <c r="N333" s="10" t="str">
        <f t="shared" si="715"/>
        <v>Aug 25 - Aug 31</v>
      </c>
      <c r="O333" s="10" t="str">
        <f t="shared" si="715"/>
        <v>Sep 1 - Sep 7</v>
      </c>
      <c r="P333" s="10" t="str">
        <f t="shared" si="715"/>
        <v>Sep 8 - Sep 14</v>
      </c>
      <c r="Q333" s="10" t="str">
        <f t="shared" si="715"/>
        <v>Sep 15 - Sep 21</v>
      </c>
      <c r="R333" s="10" t="str">
        <f t="shared" si="715"/>
        <v>Sep 22 - Sep 28</v>
      </c>
      <c r="S333" s="10" t="str">
        <f t="shared" si="715"/>
        <v>Sep 29 - Oct 5</v>
      </c>
      <c r="T333" s="10" t="str">
        <f t="shared" si="715"/>
        <v>Oct 6 - Oct 12</v>
      </c>
      <c r="U333" s="10" t="str">
        <f t="shared" si="715"/>
        <v>Oct 13 - Oct 19</v>
      </c>
      <c r="V333" s="10" t="str">
        <f t="shared" si="715"/>
        <v>Oct 20 - Oct 26</v>
      </c>
      <c r="W333" s="10" t="str">
        <f t="shared" si="715"/>
        <v>Oct 27 - Nov 3</v>
      </c>
      <c r="X333" s="241"/>
      <c r="Y333" s="241"/>
      <c r="Z333" s="241"/>
      <c r="AA333" s="241"/>
      <c r="AB333" s="243"/>
      <c r="AC333" s="143"/>
      <c r="AD333" s="148"/>
      <c r="AE333" s="150" t="s">
        <v>438</v>
      </c>
      <c r="AF333" s="150" t="s">
        <v>439</v>
      </c>
      <c r="AG333" s="151" t="s">
        <v>749</v>
      </c>
      <c r="AH333" s="150" t="s">
        <v>440</v>
      </c>
      <c r="AI333" s="150" t="s">
        <v>2</v>
      </c>
      <c r="AJ333" s="150" t="s">
        <v>15</v>
      </c>
      <c r="AK333" s="149"/>
      <c r="AL333" s="149"/>
    </row>
    <row r="334" spans="1:38" ht="15.75" customHeight="1" thickTop="1">
      <c r="A334" s="17"/>
      <c r="B334" s="17"/>
      <c r="C334" s="17"/>
      <c r="D334" s="17"/>
      <c r="E334" s="14"/>
      <c r="F334" s="14"/>
      <c r="G334" s="14"/>
      <c r="H334" s="14" t="s">
        <v>57</v>
      </c>
      <c r="I334" s="233"/>
      <c r="J334" s="237" t="s">
        <v>436</v>
      </c>
      <c r="K334" s="152"/>
      <c r="L334" s="88">
        <f>(L336*1000)/$A335</f>
        <v>0</v>
      </c>
      <c r="M334" s="88">
        <f t="shared" ref="M334:W334" si="716">(M336*1000)/$A335</f>
        <v>0</v>
      </c>
      <c r="N334" s="88">
        <f t="shared" si="716"/>
        <v>0</v>
      </c>
      <c r="O334" s="88">
        <f t="shared" ref="O334:P334" si="717">(O336*1000)/$A335</f>
        <v>0</v>
      </c>
      <c r="P334" s="88">
        <f t="shared" si="717"/>
        <v>0</v>
      </c>
      <c r="Q334" s="88">
        <f t="shared" ref="Q334" si="718">(Q336*1000)/$A335</f>
        <v>0</v>
      </c>
      <c r="R334" s="88">
        <f t="shared" si="716"/>
        <v>0</v>
      </c>
      <c r="S334" s="88">
        <f t="shared" si="716"/>
        <v>0</v>
      </c>
      <c r="T334" s="88">
        <f t="shared" si="716"/>
        <v>0</v>
      </c>
      <c r="U334" s="88">
        <f t="shared" si="716"/>
        <v>0</v>
      </c>
      <c r="V334" s="88">
        <f t="shared" si="716"/>
        <v>0</v>
      </c>
      <c r="W334" s="88">
        <f t="shared" si="716"/>
        <v>0</v>
      </c>
      <c r="X334" s="92"/>
      <c r="Y334" s="88">
        <f t="shared" ref="Y334:Y342" si="719">SUM(L334:W334)</f>
        <v>0</v>
      </c>
      <c r="Z334" s="92"/>
      <c r="AA334" s="244">
        <f>IFERROR($Y336/$Y$346, 0)</f>
        <v>0</v>
      </c>
      <c r="AB334" s="245">
        <f>IFERROR($Y336/$Y$398, 0)</f>
        <v>0</v>
      </c>
      <c r="AC334" s="145"/>
      <c r="AD334" s="146"/>
      <c r="AE334" s="146"/>
      <c r="AF334" s="147"/>
      <c r="AG334" s="147"/>
      <c r="AH334" s="147"/>
      <c r="AI334" s="147"/>
      <c r="AJ334" s="147"/>
      <c r="AK334" s="147"/>
      <c r="AL334" s="147"/>
    </row>
    <row r="335" spans="1:38" ht="15.75" customHeight="1">
      <c r="A335" s="17">
        <f>VLOOKUP($E335,'Digital Targeting'!$B$524:$E$892,4,FALSE)</f>
        <v>20</v>
      </c>
      <c r="B335" s="17"/>
      <c r="C335" s="95"/>
      <c r="D335" s="95"/>
      <c r="E335" s="14" t="s">
        <v>455</v>
      </c>
      <c r="F335" s="99"/>
      <c r="G335" s="88" t="e">
        <f>VLOOKUP($F335,'Digital Targeting'!$A$21:$G$100,5,FALSE)*I335</f>
        <v>#N/A</v>
      </c>
      <c r="H335" s="14" t="s">
        <v>420</v>
      </c>
      <c r="I335" s="235" t="e">
        <f>VLOOKUP(F335,'Digital Targeting'!$A$21:$M$214,10,FALSE)</f>
        <v>#N/A</v>
      </c>
      <c r="J335" s="237"/>
      <c r="K335" s="152"/>
      <c r="L335" s="89">
        <f>IFERROR(L334/$G335,0)</f>
        <v>0</v>
      </c>
      <c r="M335" s="89">
        <f t="shared" ref="M335" si="720">IFERROR(M334/$G335,0)</f>
        <v>0</v>
      </c>
      <c r="N335" s="89">
        <f t="shared" ref="N335" si="721">IFERROR(N334/$G335,0)</f>
        <v>0</v>
      </c>
      <c r="O335" s="89">
        <f t="shared" ref="O335" si="722">IFERROR(O334/$G335,0)</f>
        <v>0</v>
      </c>
      <c r="P335" s="89">
        <f t="shared" ref="P335" si="723">IFERROR(P334/$G335,0)</f>
        <v>0</v>
      </c>
      <c r="Q335" s="89">
        <f t="shared" ref="Q335" si="724">IFERROR(Q334/$G335,0)</f>
        <v>0</v>
      </c>
      <c r="R335" s="89">
        <f t="shared" ref="R335" si="725">IFERROR(R334/$G335,0)</f>
        <v>0</v>
      </c>
      <c r="S335" s="89">
        <f t="shared" ref="S335" si="726">IFERROR(S334/$G335,0)</f>
        <v>0</v>
      </c>
      <c r="T335" s="89">
        <f t="shared" ref="T335" si="727">IFERROR(T334/$G335,0)</f>
        <v>0</v>
      </c>
      <c r="U335" s="89">
        <f t="shared" ref="U335" si="728">IFERROR(U334/$G335,0)</f>
        <v>0</v>
      </c>
      <c r="V335" s="89">
        <f t="shared" ref="V335" si="729">IFERROR(V334/$G335,0)</f>
        <v>0</v>
      </c>
      <c r="W335" s="89">
        <f t="shared" ref="W335" si="730">IFERROR(W334/$G335,0)</f>
        <v>0</v>
      </c>
      <c r="X335" s="92"/>
      <c r="Y335" s="90">
        <f t="shared" si="719"/>
        <v>0</v>
      </c>
      <c r="Z335" s="92"/>
      <c r="AA335" s="238"/>
      <c r="AB335" s="239"/>
      <c r="AC335" s="145"/>
      <c r="AD335" s="146"/>
      <c r="AE335" s="153" t="e">
        <f>G335/1000</f>
        <v>#N/A</v>
      </c>
      <c r="AF335" s="153">
        <v>5</v>
      </c>
      <c r="AG335" s="153" t="e">
        <f>AF335*AE335</f>
        <v>#N/A</v>
      </c>
      <c r="AH335" s="154">
        <f>$A335</f>
        <v>20</v>
      </c>
      <c r="AI335" s="155">
        <f>($F$2-$F$3+1)/7</f>
        <v>12</v>
      </c>
      <c r="AJ335" s="154" t="e">
        <f>(AG335*AH335)/AI335</f>
        <v>#N/A</v>
      </c>
      <c r="AK335" s="147"/>
      <c r="AL335" s="147"/>
    </row>
    <row r="336" spans="1:38" ht="15.75" customHeight="1">
      <c r="F336" s="156"/>
      <c r="G336" s="22"/>
      <c r="H336" s="14" t="s">
        <v>15</v>
      </c>
      <c r="I336" s="233"/>
      <c r="J336" s="237"/>
      <c r="K336" s="152"/>
      <c r="L336" s="19">
        <v>0</v>
      </c>
      <c r="M336" s="19">
        <v>0</v>
      </c>
      <c r="N336" s="19">
        <v>0</v>
      </c>
      <c r="O336" s="19">
        <v>0</v>
      </c>
      <c r="P336" s="19">
        <v>0</v>
      </c>
      <c r="Q336" s="19">
        <v>0</v>
      </c>
      <c r="R336" s="19">
        <v>0</v>
      </c>
      <c r="S336" s="19">
        <v>0</v>
      </c>
      <c r="T336" s="19">
        <v>0</v>
      </c>
      <c r="U336" s="19">
        <v>0</v>
      </c>
      <c r="V336" s="19">
        <v>0</v>
      </c>
      <c r="W336" s="19">
        <v>0</v>
      </c>
      <c r="X336" s="92"/>
      <c r="Y336" s="20">
        <f t="shared" si="719"/>
        <v>0</v>
      </c>
      <c r="Z336" s="92"/>
      <c r="AA336" s="238"/>
      <c r="AB336" s="239"/>
      <c r="AC336" s="145"/>
      <c r="AD336" s="146"/>
      <c r="AE336" s="146"/>
      <c r="AF336" s="147"/>
      <c r="AG336" s="147"/>
      <c r="AH336" s="147"/>
      <c r="AI336" s="147"/>
      <c r="AJ336" s="147"/>
      <c r="AK336" s="147"/>
      <c r="AL336" s="147"/>
    </row>
    <row r="337" spans="1:38" ht="15.75" customHeight="1">
      <c r="A337" s="17"/>
      <c r="B337" s="17"/>
      <c r="C337" s="17"/>
      <c r="D337" s="17"/>
      <c r="E337" s="14"/>
      <c r="F337" s="100"/>
      <c r="G337" s="14"/>
      <c r="H337" s="14" t="s">
        <v>57</v>
      </c>
      <c r="I337" s="233"/>
      <c r="J337" s="237" t="s">
        <v>436</v>
      </c>
      <c r="K337" s="152"/>
      <c r="L337" s="88">
        <f>(L339*1000)/$A338</f>
        <v>0</v>
      </c>
      <c r="M337" s="88">
        <f t="shared" ref="M337:W337" si="731">(M339*1000)/$A338</f>
        <v>0</v>
      </c>
      <c r="N337" s="88">
        <f t="shared" si="731"/>
        <v>0</v>
      </c>
      <c r="O337" s="88">
        <f t="shared" ref="O337:P337" si="732">(O339*1000)/$A338</f>
        <v>0</v>
      </c>
      <c r="P337" s="88">
        <f t="shared" si="732"/>
        <v>0</v>
      </c>
      <c r="Q337" s="88">
        <f t="shared" ref="Q337" si="733">(Q339*1000)/$A338</f>
        <v>0</v>
      </c>
      <c r="R337" s="88">
        <f t="shared" si="731"/>
        <v>0</v>
      </c>
      <c r="S337" s="88">
        <f t="shared" si="731"/>
        <v>0</v>
      </c>
      <c r="T337" s="88">
        <f t="shared" si="731"/>
        <v>0</v>
      </c>
      <c r="U337" s="88">
        <f t="shared" si="731"/>
        <v>0</v>
      </c>
      <c r="V337" s="88">
        <f t="shared" si="731"/>
        <v>0</v>
      </c>
      <c r="W337" s="88">
        <f t="shared" si="731"/>
        <v>0</v>
      </c>
      <c r="X337" s="92"/>
      <c r="Y337" s="88">
        <f t="shared" si="719"/>
        <v>0</v>
      </c>
      <c r="Z337" s="92"/>
      <c r="AA337" s="238">
        <f>IFERROR($Y339/$Y$346, 0)</f>
        <v>0</v>
      </c>
      <c r="AB337" s="239">
        <f>IFERROR($Y339/$Y$398, 0)</f>
        <v>0</v>
      </c>
      <c r="AC337" s="145"/>
      <c r="AD337" s="146"/>
      <c r="AE337" s="146"/>
      <c r="AF337" s="147"/>
      <c r="AG337" s="147"/>
      <c r="AH337" s="147"/>
      <c r="AI337" s="147"/>
      <c r="AJ337" s="147"/>
      <c r="AK337" s="147"/>
      <c r="AL337" s="147"/>
    </row>
    <row r="338" spans="1:38" ht="15.75" customHeight="1">
      <c r="A338" s="17">
        <f>VLOOKUP($E338,'Digital Targeting'!$B$524:$E$892,4,FALSE)</f>
        <v>23.53</v>
      </c>
      <c r="B338" s="17"/>
      <c r="C338" s="95"/>
      <c r="D338" s="95"/>
      <c r="E338" s="14" t="s">
        <v>543</v>
      </c>
      <c r="F338" s="99"/>
      <c r="G338" s="88" t="e">
        <f>VLOOKUP($F338,'Digital Targeting'!$A$21:$G$100,5,FALSE)*I338</f>
        <v>#N/A</v>
      </c>
      <c r="H338" s="14" t="s">
        <v>420</v>
      </c>
      <c r="I338" s="235" t="e">
        <f>VLOOKUP(F338,'Digital Targeting'!$A$21:$M$214,10,FALSE)</f>
        <v>#N/A</v>
      </c>
      <c r="J338" s="237"/>
      <c r="K338" s="152"/>
      <c r="L338" s="89">
        <f>IFERROR(L337/$G338,0)</f>
        <v>0</v>
      </c>
      <c r="M338" s="89">
        <f t="shared" ref="M338" si="734">IFERROR(M337/$G338,0)</f>
        <v>0</v>
      </c>
      <c r="N338" s="89">
        <f t="shared" ref="N338" si="735">IFERROR(N337/$G338,0)</f>
        <v>0</v>
      </c>
      <c r="O338" s="89">
        <f t="shared" ref="O338" si="736">IFERROR(O337/$G338,0)</f>
        <v>0</v>
      </c>
      <c r="P338" s="89">
        <f t="shared" ref="P338" si="737">IFERROR(P337/$G338,0)</f>
        <v>0</v>
      </c>
      <c r="Q338" s="89">
        <f t="shared" ref="Q338" si="738">IFERROR(Q337/$G338,0)</f>
        <v>0</v>
      </c>
      <c r="R338" s="89">
        <f t="shared" ref="R338" si="739">IFERROR(R337/$G338,0)</f>
        <v>0</v>
      </c>
      <c r="S338" s="89">
        <f t="shared" ref="S338" si="740">IFERROR(S337/$G338,0)</f>
        <v>0</v>
      </c>
      <c r="T338" s="89">
        <f t="shared" ref="T338" si="741">IFERROR(T337/$G338,0)</f>
        <v>0</v>
      </c>
      <c r="U338" s="89">
        <f t="shared" ref="U338" si="742">IFERROR(U337/$G338,0)</f>
        <v>0</v>
      </c>
      <c r="V338" s="89">
        <f t="shared" ref="V338" si="743">IFERROR(V337/$G338,0)</f>
        <v>0</v>
      </c>
      <c r="W338" s="89">
        <f t="shared" ref="W338" si="744">IFERROR(W337/$G338,0)</f>
        <v>0</v>
      </c>
      <c r="X338" s="92"/>
      <c r="Y338" s="90">
        <f t="shared" si="719"/>
        <v>0</v>
      </c>
      <c r="Z338" s="92"/>
      <c r="AA338" s="238"/>
      <c r="AB338" s="239"/>
      <c r="AC338" s="145"/>
      <c r="AD338" s="146"/>
      <c r="AE338" s="153" t="e">
        <f>G338/1000</f>
        <v>#N/A</v>
      </c>
      <c r="AF338" s="153">
        <v>5</v>
      </c>
      <c r="AG338" s="153" t="e">
        <f>AF338*AE338</f>
        <v>#N/A</v>
      </c>
      <c r="AH338" s="154">
        <f>$A338</f>
        <v>23.53</v>
      </c>
      <c r="AI338" s="155">
        <f>($F$2-$F$3+1)/7</f>
        <v>12</v>
      </c>
      <c r="AJ338" s="154" t="e">
        <f>(AG338*AH338)/AI338</f>
        <v>#N/A</v>
      </c>
      <c r="AK338" s="147"/>
      <c r="AL338" s="147"/>
    </row>
    <row r="339" spans="1:38" ht="15.75" customHeight="1">
      <c r="F339" s="156"/>
      <c r="G339" s="22"/>
      <c r="H339" s="14" t="s">
        <v>15</v>
      </c>
      <c r="I339" s="233"/>
      <c r="J339" s="237"/>
      <c r="K339" s="152"/>
      <c r="L339" s="19">
        <v>0</v>
      </c>
      <c r="M339" s="19">
        <v>0</v>
      </c>
      <c r="N339" s="19">
        <v>0</v>
      </c>
      <c r="O339" s="19">
        <v>0</v>
      </c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9">
        <v>0</v>
      </c>
      <c r="V339" s="19">
        <v>0</v>
      </c>
      <c r="W339" s="19">
        <v>0</v>
      </c>
      <c r="X339" s="92"/>
      <c r="Y339" s="20">
        <f t="shared" si="719"/>
        <v>0</v>
      </c>
      <c r="Z339" s="92"/>
      <c r="AA339" s="238"/>
      <c r="AB339" s="239"/>
      <c r="AC339" s="145"/>
      <c r="AD339" s="146"/>
      <c r="AE339" s="146"/>
      <c r="AF339" s="147"/>
      <c r="AG339" s="147"/>
      <c r="AH339" s="147"/>
      <c r="AI339" s="147"/>
      <c r="AJ339" s="147"/>
      <c r="AK339" s="147"/>
      <c r="AL339" s="147"/>
    </row>
    <row r="340" spans="1:38" ht="15.75" customHeight="1">
      <c r="A340" s="17"/>
      <c r="B340" s="17"/>
      <c r="C340" s="17"/>
      <c r="D340" s="17"/>
      <c r="E340" s="14"/>
      <c r="F340" s="100"/>
      <c r="G340" s="14"/>
      <c r="H340" s="14" t="s">
        <v>57</v>
      </c>
      <c r="I340" s="233"/>
      <c r="J340" s="237" t="s">
        <v>436</v>
      </c>
      <c r="K340" s="152"/>
      <c r="L340" s="88">
        <f>(L342*1000)/$A341</f>
        <v>0</v>
      </c>
      <c r="M340" s="88">
        <f t="shared" ref="M340:W340" si="745">(M342*1000)/$A341</f>
        <v>0</v>
      </c>
      <c r="N340" s="88">
        <f t="shared" si="745"/>
        <v>0</v>
      </c>
      <c r="O340" s="88">
        <f t="shared" ref="O340:P340" si="746">(O342*1000)/$A341</f>
        <v>0</v>
      </c>
      <c r="P340" s="88">
        <f t="shared" si="746"/>
        <v>0</v>
      </c>
      <c r="Q340" s="88">
        <f t="shared" ref="Q340" si="747">(Q342*1000)/$A341</f>
        <v>0</v>
      </c>
      <c r="R340" s="88">
        <f t="shared" si="745"/>
        <v>0</v>
      </c>
      <c r="S340" s="88">
        <f t="shared" si="745"/>
        <v>0</v>
      </c>
      <c r="T340" s="88">
        <f t="shared" si="745"/>
        <v>0</v>
      </c>
      <c r="U340" s="88">
        <f t="shared" si="745"/>
        <v>0</v>
      </c>
      <c r="V340" s="88">
        <f t="shared" si="745"/>
        <v>0</v>
      </c>
      <c r="W340" s="88">
        <f t="shared" si="745"/>
        <v>0</v>
      </c>
      <c r="X340" s="92"/>
      <c r="Y340" s="88">
        <f t="shared" si="719"/>
        <v>0</v>
      </c>
      <c r="Z340" s="92"/>
      <c r="AA340" s="238">
        <f>IFERROR($Y342/$Y$346, 0)</f>
        <v>0</v>
      </c>
      <c r="AB340" s="239">
        <f>IFERROR($Y342/$Y$398, 0)</f>
        <v>0</v>
      </c>
      <c r="AC340" s="145"/>
      <c r="AD340" s="146"/>
      <c r="AE340" s="146"/>
      <c r="AF340" s="147"/>
      <c r="AG340" s="147"/>
      <c r="AH340" s="147"/>
      <c r="AI340" s="147"/>
      <c r="AJ340" s="147"/>
      <c r="AK340" s="147"/>
      <c r="AL340" s="147"/>
    </row>
    <row r="341" spans="1:38" ht="15.75" customHeight="1">
      <c r="A341" s="17">
        <f>VLOOKUP($E341,'Digital Targeting'!$B$524:$E$892,4,FALSE)</f>
        <v>7.06</v>
      </c>
      <c r="B341" s="17"/>
      <c r="C341" s="95"/>
      <c r="D341" s="95"/>
      <c r="E341" s="14" t="s">
        <v>457</v>
      </c>
      <c r="F341" s="99"/>
      <c r="G341" s="88" t="e">
        <f>VLOOKUP($F341,'Digital Targeting'!$A$21:$G$100,5,FALSE)*I341</f>
        <v>#N/A</v>
      </c>
      <c r="H341" s="14" t="s">
        <v>420</v>
      </c>
      <c r="I341" s="235" t="e">
        <f>VLOOKUP(F341,'Digital Targeting'!$A$21:$M$214,10,FALSE)</f>
        <v>#N/A</v>
      </c>
      <c r="J341" s="237"/>
      <c r="K341" s="152"/>
      <c r="L341" s="89">
        <f>IFERROR(L340/$G341,0)</f>
        <v>0</v>
      </c>
      <c r="M341" s="89">
        <f t="shared" ref="M341" si="748">IFERROR(M340/$G341,0)</f>
        <v>0</v>
      </c>
      <c r="N341" s="89">
        <f t="shared" ref="N341" si="749">IFERROR(N340/$G341,0)</f>
        <v>0</v>
      </c>
      <c r="O341" s="89">
        <f t="shared" ref="O341" si="750">IFERROR(O340/$G341,0)</f>
        <v>0</v>
      </c>
      <c r="P341" s="89">
        <f t="shared" ref="P341" si="751">IFERROR(P340/$G341,0)</f>
        <v>0</v>
      </c>
      <c r="Q341" s="89">
        <f t="shared" ref="Q341" si="752">IFERROR(Q340/$G341,0)</f>
        <v>0</v>
      </c>
      <c r="R341" s="89">
        <f t="shared" ref="R341" si="753">IFERROR(R340/$G341,0)</f>
        <v>0</v>
      </c>
      <c r="S341" s="89">
        <f t="shared" ref="S341" si="754">IFERROR(S340/$G341,0)</f>
        <v>0</v>
      </c>
      <c r="T341" s="89">
        <f t="shared" ref="T341" si="755">IFERROR(T340/$G341,0)</f>
        <v>0</v>
      </c>
      <c r="U341" s="89">
        <f t="shared" ref="U341" si="756">IFERROR(U340/$G341,0)</f>
        <v>0</v>
      </c>
      <c r="V341" s="89">
        <f t="shared" ref="V341" si="757">IFERROR(V340/$G341,0)</f>
        <v>0</v>
      </c>
      <c r="W341" s="89">
        <f t="shared" ref="W341" si="758">IFERROR(W340/$G341,0)</f>
        <v>0</v>
      </c>
      <c r="X341" s="92"/>
      <c r="Y341" s="90">
        <f t="shared" si="719"/>
        <v>0</v>
      </c>
      <c r="Z341" s="92"/>
      <c r="AA341" s="238"/>
      <c r="AB341" s="239"/>
      <c r="AC341" s="145"/>
      <c r="AD341" s="146"/>
      <c r="AE341" s="153" t="e">
        <f>G341/1000</f>
        <v>#N/A</v>
      </c>
      <c r="AF341" s="153">
        <v>5</v>
      </c>
      <c r="AG341" s="153" t="e">
        <f>AF341*AE341</f>
        <v>#N/A</v>
      </c>
      <c r="AH341" s="154">
        <f>$A341</f>
        <v>7.06</v>
      </c>
      <c r="AI341" s="155">
        <f>($F$2-$F$3+1)/7</f>
        <v>12</v>
      </c>
      <c r="AJ341" s="154" t="e">
        <f>(AG341*AH341)/AI341</f>
        <v>#N/A</v>
      </c>
      <c r="AK341" s="147"/>
      <c r="AL341" s="147"/>
    </row>
    <row r="342" spans="1:38" ht="15.75" customHeight="1">
      <c r="F342" s="156"/>
      <c r="G342" s="22"/>
      <c r="H342" s="14" t="s">
        <v>15</v>
      </c>
      <c r="I342" s="233"/>
      <c r="J342" s="237"/>
      <c r="K342" s="152"/>
      <c r="L342" s="19">
        <v>0</v>
      </c>
      <c r="M342" s="19">
        <v>0</v>
      </c>
      <c r="N342" s="19">
        <v>0</v>
      </c>
      <c r="O342" s="19">
        <v>0</v>
      </c>
      <c r="P342" s="19">
        <v>0</v>
      </c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92"/>
      <c r="Y342" s="20">
        <f t="shared" si="719"/>
        <v>0</v>
      </c>
      <c r="Z342" s="92"/>
      <c r="AA342" s="238"/>
      <c r="AB342" s="239"/>
      <c r="AC342" s="145"/>
      <c r="AD342" s="146"/>
      <c r="AE342" s="146"/>
      <c r="AF342" s="147"/>
      <c r="AG342" s="147"/>
      <c r="AH342" s="147"/>
      <c r="AI342" s="147"/>
      <c r="AJ342" s="147"/>
      <c r="AK342" s="147"/>
      <c r="AL342" s="147"/>
    </row>
    <row r="343" spans="1:38" ht="15.75" customHeight="1">
      <c r="F343" s="156"/>
      <c r="G343" s="22"/>
      <c r="H343" s="14"/>
      <c r="I343" s="126"/>
      <c r="J343" s="126"/>
      <c r="K343" s="152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92"/>
      <c r="Y343" s="20"/>
      <c r="Z343" s="92"/>
      <c r="AA343" s="175"/>
      <c r="AB343" s="125"/>
      <c r="AC343" s="145"/>
      <c r="AD343" s="146"/>
      <c r="AE343" s="146"/>
      <c r="AF343" s="147"/>
      <c r="AG343" s="147"/>
      <c r="AH343" s="147"/>
      <c r="AI343" s="147"/>
      <c r="AJ343" s="147"/>
      <c r="AK343" s="147"/>
      <c r="AL343" s="147"/>
    </row>
    <row r="344" spans="1:38" ht="15.75" customHeight="1">
      <c r="A344" s="210">
        <v>0.55000000000000004</v>
      </c>
      <c r="E344" s="106" t="s">
        <v>429</v>
      </c>
      <c r="F344" s="94"/>
      <c r="G344" s="94"/>
      <c r="H344" s="211" t="s">
        <v>748</v>
      </c>
      <c r="I344" s="126"/>
      <c r="J344" s="126"/>
      <c r="K344" s="92"/>
      <c r="L344" s="212">
        <f t="shared" ref="L344:W344" si="759">(SUMIFS(L$333:L$348, $H$333:$H$348, "IMPs", $J$333:$J$348, "Yes") / 1000 * 0.55)</f>
        <v>0</v>
      </c>
      <c r="M344" s="212">
        <f t="shared" si="759"/>
        <v>0</v>
      </c>
      <c r="N344" s="212">
        <f t="shared" si="759"/>
        <v>0</v>
      </c>
      <c r="O344" s="212">
        <f t="shared" si="759"/>
        <v>0</v>
      </c>
      <c r="P344" s="212">
        <f t="shared" si="759"/>
        <v>0</v>
      </c>
      <c r="Q344" s="212">
        <f t="shared" si="759"/>
        <v>0</v>
      </c>
      <c r="R344" s="212">
        <f t="shared" si="759"/>
        <v>0</v>
      </c>
      <c r="S344" s="212">
        <f t="shared" si="759"/>
        <v>0</v>
      </c>
      <c r="T344" s="212">
        <f t="shared" si="759"/>
        <v>0</v>
      </c>
      <c r="U344" s="212">
        <f t="shared" si="759"/>
        <v>0</v>
      </c>
      <c r="V344" s="212">
        <f t="shared" si="759"/>
        <v>0</v>
      </c>
      <c r="W344" s="212">
        <f t="shared" si="759"/>
        <v>0</v>
      </c>
      <c r="X344" s="213"/>
      <c r="Y344" s="214">
        <f>SUM(L344:W344)</f>
        <v>0</v>
      </c>
      <c r="Z344" s="92"/>
      <c r="AA344" s="215">
        <f>IFERROR(Y344/Y346,0)</f>
        <v>0</v>
      </c>
      <c r="AB344" s="216">
        <f>IFERROR(Y344/Y$398,0)</f>
        <v>0</v>
      </c>
      <c r="AC344" s="145"/>
      <c r="AD344" s="146"/>
      <c r="AE344" s="146"/>
      <c r="AF344" s="147"/>
      <c r="AG344" s="147"/>
      <c r="AH344" s="147"/>
      <c r="AI344" s="147"/>
      <c r="AJ344" s="147"/>
      <c r="AK344" s="147"/>
      <c r="AL344" s="147"/>
    </row>
    <row r="345" spans="1:38" ht="15.75" customHeight="1">
      <c r="A345" s="17"/>
      <c r="B345" s="17"/>
      <c r="C345" s="17"/>
      <c r="D345" s="17"/>
      <c r="E345" s="14"/>
      <c r="F345" s="14"/>
      <c r="G345" s="14"/>
      <c r="H345" s="14"/>
      <c r="I345" s="126"/>
      <c r="J345" s="126"/>
      <c r="K345" s="92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92"/>
      <c r="Y345" s="20"/>
      <c r="Z345" s="92"/>
      <c r="AA345" s="23"/>
      <c r="AB345" s="24"/>
      <c r="AC345" s="145"/>
      <c r="AD345" s="146"/>
      <c r="AE345" s="146"/>
      <c r="AF345" s="147"/>
      <c r="AG345" s="147"/>
      <c r="AH345" s="147"/>
      <c r="AI345" s="147"/>
      <c r="AJ345" s="147"/>
      <c r="AK345" s="147"/>
      <c r="AL345" s="147"/>
    </row>
    <row r="346" spans="1:38" ht="15.75" customHeight="1">
      <c r="A346" s="17"/>
      <c r="B346" s="17"/>
      <c r="C346" s="17"/>
      <c r="D346" s="17"/>
      <c r="E346" s="25" t="s">
        <v>121</v>
      </c>
      <c r="F346" s="18"/>
      <c r="G346" s="22"/>
      <c r="H346" s="14" t="s">
        <v>11</v>
      </c>
      <c r="I346" s="126"/>
      <c r="J346" s="126"/>
      <c r="K346" s="92"/>
      <c r="L346" s="26">
        <f>SUMIF($H$333:$H$348,"$$$",L$333:L$348)+L344</f>
        <v>0</v>
      </c>
      <c r="M346" s="26">
        <f t="shared" ref="M346:W346" si="760">SUMIF($H$333:$H$348,"$$$",M$333:M$348)+M344</f>
        <v>0</v>
      </c>
      <c r="N346" s="26">
        <f t="shared" si="760"/>
        <v>0</v>
      </c>
      <c r="O346" s="26">
        <f t="shared" si="760"/>
        <v>0</v>
      </c>
      <c r="P346" s="26">
        <f t="shared" si="760"/>
        <v>0</v>
      </c>
      <c r="Q346" s="26">
        <f t="shared" si="760"/>
        <v>0</v>
      </c>
      <c r="R346" s="26">
        <f t="shared" si="760"/>
        <v>0</v>
      </c>
      <c r="S346" s="26">
        <f t="shared" si="760"/>
        <v>0</v>
      </c>
      <c r="T346" s="26">
        <f t="shared" si="760"/>
        <v>0</v>
      </c>
      <c r="U346" s="26">
        <f t="shared" si="760"/>
        <v>0</v>
      </c>
      <c r="V346" s="26">
        <f t="shared" si="760"/>
        <v>0</v>
      </c>
      <c r="W346" s="26">
        <f t="shared" si="760"/>
        <v>0</v>
      </c>
      <c r="X346" s="92"/>
      <c r="Y346" s="26">
        <f>SUM(L346:W346)</f>
        <v>0</v>
      </c>
      <c r="Z346" s="92"/>
      <c r="AA346" s="28">
        <f>IFERROR($Y346/$Y$346, 0)</f>
        <v>0</v>
      </c>
      <c r="AB346" s="29">
        <f>IFERROR($Y346/$Y$398, 0)</f>
        <v>0</v>
      </c>
      <c r="AC346" s="145"/>
      <c r="AD346" s="146"/>
      <c r="AE346" s="146"/>
      <c r="AF346" s="147"/>
      <c r="AG346" s="147"/>
      <c r="AH346" s="147"/>
      <c r="AI346" s="147"/>
      <c r="AJ346" s="147"/>
      <c r="AK346" s="147"/>
      <c r="AL346" s="147"/>
    </row>
    <row r="347" spans="1:38" ht="15.75" customHeight="1" thickBot="1">
      <c r="A347" s="135"/>
      <c r="B347" s="135"/>
      <c r="C347" s="135"/>
      <c r="D347" s="135"/>
      <c r="E347" s="136" t="s">
        <v>432</v>
      </c>
      <c r="F347" s="137"/>
      <c r="G347" s="138"/>
      <c r="H347" s="139" t="s">
        <v>417</v>
      </c>
      <c r="I347" s="140"/>
      <c r="J347" s="140"/>
      <c r="K347" s="141"/>
      <c r="L347" s="142">
        <f t="shared" ref="L347:W347" si="761">L346*(1-(0.15-$H$3))</f>
        <v>0</v>
      </c>
      <c r="M347" s="142">
        <f t="shared" si="761"/>
        <v>0</v>
      </c>
      <c r="N347" s="142">
        <f t="shared" si="761"/>
        <v>0</v>
      </c>
      <c r="O347" s="142">
        <f t="shared" ref="O347:P347" si="762">O346*(1-(0.15-$H$3))</f>
        <v>0</v>
      </c>
      <c r="P347" s="142">
        <f t="shared" si="762"/>
        <v>0</v>
      </c>
      <c r="Q347" s="142">
        <f t="shared" ref="Q347" si="763">Q346*(1-(0.15-$H$3))</f>
        <v>0</v>
      </c>
      <c r="R347" s="142">
        <f t="shared" si="761"/>
        <v>0</v>
      </c>
      <c r="S347" s="142">
        <f t="shared" si="761"/>
        <v>0</v>
      </c>
      <c r="T347" s="142">
        <f t="shared" si="761"/>
        <v>0</v>
      </c>
      <c r="U347" s="142">
        <f t="shared" si="761"/>
        <v>0</v>
      </c>
      <c r="V347" s="142">
        <f t="shared" si="761"/>
        <v>0</v>
      </c>
      <c r="W347" s="142">
        <f t="shared" si="761"/>
        <v>0</v>
      </c>
      <c r="X347" s="141"/>
      <c r="Y347" s="142">
        <f>SUM(L347:W347)</f>
        <v>0</v>
      </c>
      <c r="Z347" s="141"/>
      <c r="AA347" s="143"/>
      <c r="AB347" s="144"/>
      <c r="AC347" s="145"/>
      <c r="AD347" s="146"/>
      <c r="AE347" s="146"/>
      <c r="AF347" s="147"/>
      <c r="AG347" s="147"/>
      <c r="AH347" s="147"/>
      <c r="AI347" s="147"/>
      <c r="AJ347" s="147"/>
      <c r="AK347" s="147"/>
      <c r="AL347" s="147"/>
    </row>
    <row r="348" spans="1:38" ht="15.75" customHeight="1" thickTop="1">
      <c r="A348" s="251" t="s">
        <v>36</v>
      </c>
      <c r="B348" s="240"/>
      <c r="C348" s="240"/>
      <c r="D348" s="240"/>
      <c r="E348" s="240" t="s">
        <v>97</v>
      </c>
      <c r="F348" s="240" t="s">
        <v>442</v>
      </c>
      <c r="G348" s="240"/>
      <c r="H348" s="240"/>
      <c r="I348" s="246"/>
      <c r="J348" s="246" t="s">
        <v>435</v>
      </c>
      <c r="K348" s="240"/>
      <c r="L348" s="6" t="str">
        <f t="shared" ref="L348:W348" si="764">CONCATENATE("Week ",L$2)</f>
        <v>Week 12</v>
      </c>
      <c r="M348" s="6" t="str">
        <f t="shared" si="764"/>
        <v>Week 11</v>
      </c>
      <c r="N348" s="6" t="str">
        <f t="shared" si="764"/>
        <v>Week 10</v>
      </c>
      <c r="O348" s="6" t="str">
        <f t="shared" si="764"/>
        <v>Week 9</v>
      </c>
      <c r="P348" s="6" t="str">
        <f t="shared" si="764"/>
        <v>Week 8</v>
      </c>
      <c r="Q348" s="6" t="str">
        <f t="shared" si="764"/>
        <v>Week 7</v>
      </c>
      <c r="R348" s="6" t="str">
        <f t="shared" si="764"/>
        <v>Week 6</v>
      </c>
      <c r="S348" s="6" t="str">
        <f t="shared" si="764"/>
        <v>Week 5</v>
      </c>
      <c r="T348" s="6" t="str">
        <f t="shared" si="764"/>
        <v>Week 4</v>
      </c>
      <c r="U348" s="6" t="str">
        <f t="shared" si="764"/>
        <v>Week 3</v>
      </c>
      <c r="V348" s="6" t="str">
        <f t="shared" si="764"/>
        <v>Week 2</v>
      </c>
      <c r="W348" s="6" t="str">
        <f t="shared" si="764"/>
        <v>Week 1</v>
      </c>
      <c r="X348" s="240"/>
      <c r="Y348" s="240" t="s">
        <v>11</v>
      </c>
      <c r="Z348" s="240"/>
      <c r="AA348" s="240" t="s">
        <v>122</v>
      </c>
      <c r="AB348" s="242" t="s">
        <v>13</v>
      </c>
      <c r="AC348" s="143"/>
      <c r="AD348" s="148"/>
      <c r="AE348" s="148"/>
      <c r="AF348" s="149"/>
      <c r="AG348" s="149"/>
      <c r="AH348" s="149"/>
      <c r="AI348" s="149"/>
      <c r="AJ348" s="149"/>
      <c r="AK348" s="149"/>
      <c r="AL348" s="149"/>
    </row>
    <row r="349" spans="1:38" ht="15.75" customHeight="1" thickBot="1">
      <c r="A349" s="252"/>
      <c r="B349" s="241"/>
      <c r="C349" s="253"/>
      <c r="D349" s="253"/>
      <c r="E349" s="241"/>
      <c r="F349" s="253"/>
      <c r="G349" s="253"/>
      <c r="H349" s="241"/>
      <c r="I349" s="247"/>
      <c r="J349" s="247"/>
      <c r="K349" s="241"/>
      <c r="L349" s="10" t="str">
        <f t="shared" ref="L349:W349" si="765">TEXT(L$3, "mmm d") &amp; " - " &amp; TEXT(L$4, "mmm d")</f>
        <v>Aug 11 - Aug 17</v>
      </c>
      <c r="M349" s="10" t="str">
        <f t="shared" si="765"/>
        <v>Aug 18 - Aug 24</v>
      </c>
      <c r="N349" s="10" t="str">
        <f t="shared" si="765"/>
        <v>Aug 25 - Aug 31</v>
      </c>
      <c r="O349" s="10" t="str">
        <f t="shared" si="765"/>
        <v>Sep 1 - Sep 7</v>
      </c>
      <c r="P349" s="10" t="str">
        <f t="shared" si="765"/>
        <v>Sep 8 - Sep 14</v>
      </c>
      <c r="Q349" s="10" t="str">
        <f t="shared" si="765"/>
        <v>Sep 15 - Sep 21</v>
      </c>
      <c r="R349" s="10" t="str">
        <f t="shared" si="765"/>
        <v>Sep 22 - Sep 28</v>
      </c>
      <c r="S349" s="10" t="str">
        <f t="shared" si="765"/>
        <v>Sep 29 - Oct 5</v>
      </c>
      <c r="T349" s="10" t="str">
        <f t="shared" si="765"/>
        <v>Oct 6 - Oct 12</v>
      </c>
      <c r="U349" s="10" t="str">
        <f t="shared" si="765"/>
        <v>Oct 13 - Oct 19</v>
      </c>
      <c r="V349" s="10" t="str">
        <f t="shared" si="765"/>
        <v>Oct 20 - Oct 26</v>
      </c>
      <c r="W349" s="10" t="str">
        <f t="shared" si="765"/>
        <v>Oct 27 - Nov 3</v>
      </c>
      <c r="X349" s="241"/>
      <c r="Y349" s="241"/>
      <c r="Z349" s="241"/>
      <c r="AA349" s="241"/>
      <c r="AB349" s="243"/>
      <c r="AC349" s="143"/>
      <c r="AD349" s="148"/>
      <c r="AE349" s="150" t="s">
        <v>438</v>
      </c>
      <c r="AF349" s="150" t="s">
        <v>439</v>
      </c>
      <c r="AG349" s="151" t="s">
        <v>749</v>
      </c>
      <c r="AH349" s="150" t="s">
        <v>440</v>
      </c>
      <c r="AI349" s="150" t="s">
        <v>2</v>
      </c>
      <c r="AJ349" s="150" t="s">
        <v>15</v>
      </c>
      <c r="AK349" s="149"/>
      <c r="AL349" s="149"/>
    </row>
    <row r="350" spans="1:38" ht="15.75" customHeight="1" thickTop="1">
      <c r="A350" s="17"/>
      <c r="B350" s="17"/>
      <c r="C350" s="17"/>
      <c r="D350" s="17"/>
      <c r="E350" s="14"/>
      <c r="F350" s="25"/>
      <c r="G350" s="14"/>
      <c r="H350" s="14" t="s">
        <v>57</v>
      </c>
      <c r="I350" s="233"/>
      <c r="J350" s="237" t="s">
        <v>436</v>
      </c>
      <c r="K350" s="152"/>
      <c r="L350" s="88">
        <f>(L352*1000)/$A351</f>
        <v>0</v>
      </c>
      <c r="M350" s="88">
        <f t="shared" ref="M350:W350" si="766">(M352*1000)/$A351</f>
        <v>0</v>
      </c>
      <c r="N350" s="88">
        <f t="shared" si="766"/>
        <v>0</v>
      </c>
      <c r="O350" s="88">
        <f t="shared" ref="O350:P350" si="767">(O352*1000)/$A351</f>
        <v>0</v>
      </c>
      <c r="P350" s="88">
        <f t="shared" si="767"/>
        <v>0</v>
      </c>
      <c r="Q350" s="88">
        <f t="shared" ref="Q350" si="768">(Q352*1000)/$A351</f>
        <v>0</v>
      </c>
      <c r="R350" s="88">
        <f t="shared" si="766"/>
        <v>0</v>
      </c>
      <c r="S350" s="88">
        <f t="shared" si="766"/>
        <v>0</v>
      </c>
      <c r="T350" s="88">
        <f t="shared" si="766"/>
        <v>0</v>
      </c>
      <c r="U350" s="88">
        <f t="shared" si="766"/>
        <v>0</v>
      </c>
      <c r="V350" s="88">
        <f t="shared" si="766"/>
        <v>0</v>
      </c>
      <c r="W350" s="88">
        <f t="shared" si="766"/>
        <v>0</v>
      </c>
      <c r="X350" s="92"/>
      <c r="Y350" s="88">
        <f t="shared" ref="Y350:Y355" si="769">SUM(L350:W350)</f>
        <v>0</v>
      </c>
      <c r="Z350" s="92"/>
      <c r="AA350" s="244">
        <f>IFERROR($Y352/$Y$359, 0)</f>
        <v>0</v>
      </c>
      <c r="AB350" s="245">
        <f>IFERROR($Y352/$Y$398, 0)</f>
        <v>0</v>
      </c>
      <c r="AC350" s="145"/>
      <c r="AD350" s="146"/>
      <c r="AE350" s="146"/>
      <c r="AF350" s="147"/>
      <c r="AG350" s="147"/>
      <c r="AH350" s="147"/>
      <c r="AI350" s="147"/>
      <c r="AJ350" s="147"/>
      <c r="AK350" s="147"/>
      <c r="AL350" s="147"/>
    </row>
    <row r="351" spans="1:38" ht="15.75" customHeight="1">
      <c r="A351" s="17">
        <f>VLOOKUP($E351,'Digital Targeting'!$B$524:$E$892,4,FALSE)</f>
        <v>5.82</v>
      </c>
      <c r="B351" s="17"/>
      <c r="C351" s="95"/>
      <c r="D351" s="95"/>
      <c r="E351" s="14" t="s">
        <v>458</v>
      </c>
      <c r="F351" s="99"/>
      <c r="G351" s="88" t="e">
        <f>VLOOKUP($F351,'Digital Targeting'!$A$21:$G$100,5,FALSE)*I351</f>
        <v>#N/A</v>
      </c>
      <c r="H351" s="14" t="s">
        <v>420</v>
      </c>
      <c r="I351" s="235" t="e">
        <f>VLOOKUP(F351,'Digital Targeting'!$A$21:$M$214,13,FALSE)</f>
        <v>#N/A</v>
      </c>
      <c r="J351" s="237"/>
      <c r="K351" s="152"/>
      <c r="L351" s="89">
        <f>IFERROR(L350/$G351,0)</f>
        <v>0</v>
      </c>
      <c r="M351" s="89">
        <f t="shared" ref="M351" si="770">IFERROR(M350/$G351,0)</f>
        <v>0</v>
      </c>
      <c r="N351" s="89">
        <f t="shared" ref="N351" si="771">IFERROR(N350/$G351,0)</f>
        <v>0</v>
      </c>
      <c r="O351" s="89">
        <f t="shared" ref="O351" si="772">IFERROR(O350/$G351,0)</f>
        <v>0</v>
      </c>
      <c r="P351" s="89">
        <f t="shared" ref="P351" si="773">IFERROR(P350/$G351,0)</f>
        <v>0</v>
      </c>
      <c r="Q351" s="89">
        <f t="shared" ref="Q351" si="774">IFERROR(Q350/$G351,0)</f>
        <v>0</v>
      </c>
      <c r="R351" s="89">
        <f t="shared" ref="R351" si="775">IFERROR(R350/$G351,0)</f>
        <v>0</v>
      </c>
      <c r="S351" s="89">
        <f t="shared" ref="S351" si="776">IFERROR(S350/$G351,0)</f>
        <v>0</v>
      </c>
      <c r="T351" s="89">
        <f t="shared" ref="T351" si="777">IFERROR(T350/$G351,0)</f>
        <v>0</v>
      </c>
      <c r="U351" s="89">
        <f t="shared" ref="U351" si="778">IFERROR(U350/$G351,0)</f>
        <v>0</v>
      </c>
      <c r="V351" s="89">
        <f t="shared" ref="V351" si="779">IFERROR(V350/$G351,0)</f>
        <v>0</v>
      </c>
      <c r="W351" s="89">
        <f t="shared" ref="W351" si="780">IFERROR(W350/$G351,0)</f>
        <v>0</v>
      </c>
      <c r="X351" s="92"/>
      <c r="Y351" s="90">
        <f t="shared" si="769"/>
        <v>0</v>
      </c>
      <c r="Z351" s="92"/>
      <c r="AA351" s="238"/>
      <c r="AB351" s="239"/>
      <c r="AC351" s="145"/>
      <c r="AD351" s="146"/>
      <c r="AE351" s="153" t="e">
        <f>G351/1000</f>
        <v>#N/A</v>
      </c>
      <c r="AF351" s="153">
        <v>5</v>
      </c>
      <c r="AG351" s="153" t="e">
        <f>AF351*AE351</f>
        <v>#N/A</v>
      </c>
      <c r="AH351" s="154">
        <f>$A351</f>
        <v>5.82</v>
      </c>
      <c r="AI351" s="155">
        <f>($F$2-$F$3+1)/7</f>
        <v>12</v>
      </c>
      <c r="AJ351" s="154" t="e">
        <f>(AG351*AH351)/AI351</f>
        <v>#N/A</v>
      </c>
      <c r="AK351" s="147"/>
      <c r="AL351" s="147"/>
    </row>
    <row r="352" spans="1:38" ht="15.75" customHeight="1">
      <c r="F352" s="156"/>
      <c r="G352" s="22"/>
      <c r="H352" s="14" t="s">
        <v>15</v>
      </c>
      <c r="I352" s="233"/>
      <c r="J352" s="237"/>
      <c r="K352" s="152"/>
      <c r="L352" s="19">
        <v>0</v>
      </c>
      <c r="M352" s="19">
        <v>0</v>
      </c>
      <c r="N352" s="19">
        <v>0</v>
      </c>
      <c r="O352" s="19">
        <v>0</v>
      </c>
      <c r="P352" s="19">
        <v>0</v>
      </c>
      <c r="Q352" s="19">
        <v>0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19">
        <v>0</v>
      </c>
      <c r="X352" s="92"/>
      <c r="Y352" s="20">
        <f t="shared" si="769"/>
        <v>0</v>
      </c>
      <c r="Z352" s="92"/>
      <c r="AA352" s="238"/>
      <c r="AB352" s="239"/>
      <c r="AC352" s="145"/>
      <c r="AD352" s="146"/>
      <c r="AE352" s="146"/>
      <c r="AF352" s="147"/>
      <c r="AG352" s="147"/>
      <c r="AH352" s="147"/>
      <c r="AI352" s="147"/>
      <c r="AJ352" s="147"/>
      <c r="AK352" s="147"/>
      <c r="AL352" s="147"/>
    </row>
    <row r="353" spans="1:38" ht="15.75" customHeight="1">
      <c r="A353" s="17"/>
      <c r="B353" s="17"/>
      <c r="C353" s="17"/>
      <c r="D353" s="17"/>
      <c r="E353" s="14"/>
      <c r="F353" s="100"/>
      <c r="G353" s="14"/>
      <c r="H353" s="14" t="s">
        <v>57</v>
      </c>
      <c r="I353" s="233"/>
      <c r="J353" s="237" t="s">
        <v>436</v>
      </c>
      <c r="K353" s="152"/>
      <c r="L353" s="88">
        <f>(L355*1000)/$A354</f>
        <v>0</v>
      </c>
      <c r="M353" s="88">
        <f t="shared" ref="M353:W353" si="781">(M355*1000)/$A354</f>
        <v>0</v>
      </c>
      <c r="N353" s="88">
        <f t="shared" si="781"/>
        <v>0</v>
      </c>
      <c r="O353" s="88">
        <f t="shared" ref="O353:P353" si="782">(O355*1000)/$A354</f>
        <v>0</v>
      </c>
      <c r="P353" s="88">
        <f t="shared" si="782"/>
        <v>0</v>
      </c>
      <c r="Q353" s="88">
        <f t="shared" ref="Q353" si="783">(Q355*1000)/$A354</f>
        <v>0</v>
      </c>
      <c r="R353" s="88">
        <f t="shared" si="781"/>
        <v>0</v>
      </c>
      <c r="S353" s="88">
        <f t="shared" si="781"/>
        <v>0</v>
      </c>
      <c r="T353" s="88">
        <f t="shared" si="781"/>
        <v>0</v>
      </c>
      <c r="U353" s="88">
        <f t="shared" si="781"/>
        <v>0</v>
      </c>
      <c r="V353" s="88">
        <f t="shared" si="781"/>
        <v>0</v>
      </c>
      <c r="W353" s="88">
        <f t="shared" si="781"/>
        <v>0</v>
      </c>
      <c r="X353" s="92"/>
      <c r="Y353" s="88">
        <f t="shared" si="769"/>
        <v>0</v>
      </c>
      <c r="Z353" s="92"/>
      <c r="AA353" s="238">
        <f>IFERROR($Y355/$Y$359, 0)</f>
        <v>0</v>
      </c>
      <c r="AB353" s="239">
        <f>IFERROR($Y355/$Y$398, 0)</f>
        <v>0</v>
      </c>
      <c r="AC353" s="145"/>
      <c r="AD353" s="146"/>
      <c r="AE353" s="146"/>
      <c r="AF353" s="147"/>
      <c r="AG353" s="147"/>
      <c r="AH353" s="147"/>
      <c r="AI353" s="147"/>
      <c r="AJ353" s="147"/>
      <c r="AK353" s="147"/>
      <c r="AL353" s="147"/>
    </row>
    <row r="354" spans="1:38" ht="15.75" customHeight="1">
      <c r="A354" s="17">
        <f>VLOOKUP($E354,'Digital Targeting'!$B$524:$E$892,4,FALSE)</f>
        <v>5.82</v>
      </c>
      <c r="B354" s="17"/>
      <c r="C354" s="95"/>
      <c r="D354" s="95"/>
      <c r="E354" s="14" t="s">
        <v>458</v>
      </c>
      <c r="F354" s="99"/>
      <c r="G354" s="88" t="e">
        <f>VLOOKUP($F354,'Digital Targeting'!$A$21:$G$100,5,FALSE)*I354</f>
        <v>#N/A</v>
      </c>
      <c r="H354" s="14" t="s">
        <v>420</v>
      </c>
      <c r="I354" s="235" t="e">
        <f>VLOOKUP(F354,'Digital Targeting'!$A$21:$M$214,13,FALSE)</f>
        <v>#N/A</v>
      </c>
      <c r="J354" s="237"/>
      <c r="K354" s="152"/>
      <c r="L354" s="89">
        <f>IFERROR(L353/$G354,0)</f>
        <v>0</v>
      </c>
      <c r="M354" s="89">
        <f t="shared" ref="M354" si="784">IFERROR(M353/$G354,0)</f>
        <v>0</v>
      </c>
      <c r="N354" s="89">
        <f t="shared" ref="N354" si="785">IFERROR(N353/$G354,0)</f>
        <v>0</v>
      </c>
      <c r="O354" s="89">
        <f t="shared" ref="O354" si="786">IFERROR(O353/$G354,0)</f>
        <v>0</v>
      </c>
      <c r="P354" s="89">
        <f t="shared" ref="P354" si="787">IFERROR(P353/$G354,0)</f>
        <v>0</v>
      </c>
      <c r="Q354" s="89">
        <f t="shared" ref="Q354" si="788">IFERROR(Q353/$G354,0)</f>
        <v>0</v>
      </c>
      <c r="R354" s="89">
        <f t="shared" ref="R354" si="789">IFERROR(R353/$G354,0)</f>
        <v>0</v>
      </c>
      <c r="S354" s="89">
        <f t="shared" ref="S354" si="790">IFERROR(S353/$G354,0)</f>
        <v>0</v>
      </c>
      <c r="T354" s="89">
        <f t="shared" ref="T354" si="791">IFERROR(T353/$G354,0)</f>
        <v>0</v>
      </c>
      <c r="U354" s="89">
        <f t="shared" ref="U354" si="792">IFERROR(U353/$G354,0)</f>
        <v>0</v>
      </c>
      <c r="V354" s="89">
        <f t="shared" ref="V354" si="793">IFERROR(V353/$G354,0)</f>
        <v>0</v>
      </c>
      <c r="W354" s="89">
        <f t="shared" ref="W354" si="794">IFERROR(W353/$G354,0)</f>
        <v>0</v>
      </c>
      <c r="X354" s="92"/>
      <c r="Y354" s="90">
        <f t="shared" si="769"/>
        <v>0</v>
      </c>
      <c r="Z354" s="92"/>
      <c r="AA354" s="238"/>
      <c r="AB354" s="239"/>
      <c r="AC354" s="145"/>
      <c r="AD354" s="146"/>
      <c r="AE354" s="153" t="e">
        <f>G354/1000</f>
        <v>#N/A</v>
      </c>
      <c r="AF354" s="153">
        <v>5</v>
      </c>
      <c r="AG354" s="153" t="e">
        <f>AF354*AE354</f>
        <v>#N/A</v>
      </c>
      <c r="AH354" s="154">
        <f>$A354</f>
        <v>5.82</v>
      </c>
      <c r="AI354" s="155">
        <f>($F$2-$F$3+1)/7</f>
        <v>12</v>
      </c>
      <c r="AJ354" s="154" t="e">
        <f>(AG354*AH354)/AI354</f>
        <v>#N/A</v>
      </c>
      <c r="AK354" s="147"/>
      <c r="AL354" s="147"/>
    </row>
    <row r="355" spans="1:38" ht="15.75" customHeight="1">
      <c r="F355" s="156"/>
      <c r="G355" s="22"/>
      <c r="H355" s="14" t="s">
        <v>15</v>
      </c>
      <c r="I355" s="233"/>
      <c r="J355" s="237"/>
      <c r="K355" s="152"/>
      <c r="L355" s="19">
        <v>0</v>
      </c>
      <c r="M355" s="19">
        <v>0</v>
      </c>
      <c r="N355" s="19">
        <v>0</v>
      </c>
      <c r="O355" s="19">
        <v>0</v>
      </c>
      <c r="P355" s="19">
        <v>0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92"/>
      <c r="Y355" s="20">
        <f t="shared" si="769"/>
        <v>0</v>
      </c>
      <c r="Z355" s="92"/>
      <c r="AA355" s="238"/>
      <c r="AB355" s="239"/>
      <c r="AC355" s="145"/>
      <c r="AD355" s="146"/>
      <c r="AE355" s="146"/>
      <c r="AF355" s="147"/>
      <c r="AG355" s="147"/>
      <c r="AH355" s="147"/>
      <c r="AI355" s="147"/>
      <c r="AJ355" s="147"/>
      <c r="AK355" s="147"/>
      <c r="AL355" s="147"/>
    </row>
    <row r="356" spans="1:38" ht="15.75" customHeight="1">
      <c r="F356" s="156"/>
      <c r="G356" s="22"/>
      <c r="H356" s="14"/>
      <c r="I356" s="126"/>
      <c r="J356" s="126"/>
      <c r="K356" s="152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92"/>
      <c r="Y356" s="20"/>
      <c r="Z356" s="92"/>
      <c r="AA356" s="175"/>
      <c r="AB356" s="125"/>
      <c r="AC356" s="145"/>
      <c r="AD356" s="146"/>
      <c r="AE356" s="146"/>
      <c r="AF356" s="147"/>
      <c r="AG356" s="147"/>
      <c r="AH356" s="147"/>
      <c r="AI356" s="147"/>
      <c r="AJ356" s="147"/>
      <c r="AK356" s="147"/>
      <c r="AL356" s="147"/>
    </row>
    <row r="357" spans="1:38" ht="15.75" customHeight="1">
      <c r="A357" s="210">
        <v>0.55000000000000004</v>
      </c>
      <c r="E357" s="106" t="s">
        <v>429</v>
      </c>
      <c r="F357" s="94"/>
      <c r="G357" s="94"/>
      <c r="H357" s="211" t="s">
        <v>748</v>
      </c>
      <c r="I357" s="126"/>
      <c r="J357" s="126"/>
      <c r="K357" s="92"/>
      <c r="L357" s="212">
        <f t="shared" ref="L357:W357" si="795">(SUMIFS(L$349:L$361, $H$349:$H$361, "IMPs", $J$349:$J$361, "Yes") / 1000 * 0.55)</f>
        <v>0</v>
      </c>
      <c r="M357" s="212">
        <f t="shared" si="795"/>
        <v>0</v>
      </c>
      <c r="N357" s="212">
        <f t="shared" si="795"/>
        <v>0</v>
      </c>
      <c r="O357" s="212">
        <f t="shared" si="795"/>
        <v>0</v>
      </c>
      <c r="P357" s="212">
        <f t="shared" si="795"/>
        <v>0</v>
      </c>
      <c r="Q357" s="212">
        <f t="shared" si="795"/>
        <v>0</v>
      </c>
      <c r="R357" s="212">
        <f t="shared" si="795"/>
        <v>0</v>
      </c>
      <c r="S357" s="212">
        <f t="shared" si="795"/>
        <v>0</v>
      </c>
      <c r="T357" s="212">
        <f t="shared" si="795"/>
        <v>0</v>
      </c>
      <c r="U357" s="212">
        <f t="shared" si="795"/>
        <v>0</v>
      </c>
      <c r="V357" s="212">
        <f t="shared" si="795"/>
        <v>0</v>
      </c>
      <c r="W357" s="212">
        <f t="shared" si="795"/>
        <v>0</v>
      </c>
      <c r="X357" s="213"/>
      <c r="Y357" s="214">
        <f>SUM(L357:W357)</f>
        <v>0</v>
      </c>
      <c r="Z357" s="92"/>
      <c r="AA357" s="215">
        <f>IFERROR(Y357/Y359,0)</f>
        <v>0</v>
      </c>
      <c r="AB357" s="216">
        <f>IFERROR(Y357/Y$398,0)</f>
        <v>0</v>
      </c>
      <c r="AC357" s="145"/>
      <c r="AD357" s="146"/>
      <c r="AE357" s="146"/>
      <c r="AF357" s="147"/>
      <c r="AG357" s="147"/>
      <c r="AH357" s="147"/>
      <c r="AI357" s="147"/>
      <c r="AJ357" s="147"/>
      <c r="AK357" s="147"/>
      <c r="AL357" s="147"/>
    </row>
    <row r="358" spans="1:38" ht="15.75" customHeight="1">
      <c r="A358" s="17"/>
      <c r="B358" s="17"/>
      <c r="C358" s="17"/>
      <c r="D358" s="17"/>
      <c r="E358" s="14"/>
      <c r="F358" s="14"/>
      <c r="G358" s="14"/>
      <c r="H358" s="14"/>
      <c r="I358" s="126"/>
      <c r="J358" s="126"/>
      <c r="K358" s="92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92"/>
      <c r="Y358" s="20"/>
      <c r="Z358" s="92"/>
      <c r="AA358" s="23"/>
      <c r="AB358" s="24"/>
      <c r="AC358" s="145"/>
      <c r="AD358" s="146"/>
      <c r="AE358" s="146"/>
      <c r="AF358" s="147"/>
      <c r="AG358" s="147"/>
      <c r="AH358" s="147"/>
      <c r="AI358" s="147"/>
      <c r="AJ358" s="147"/>
      <c r="AK358" s="147"/>
      <c r="AL358" s="147"/>
    </row>
    <row r="359" spans="1:38" ht="15.75" customHeight="1">
      <c r="A359" s="17"/>
      <c r="B359" s="17"/>
      <c r="C359" s="17"/>
      <c r="D359" s="17"/>
      <c r="E359" s="25" t="s">
        <v>123</v>
      </c>
      <c r="F359" s="18"/>
      <c r="G359" s="22"/>
      <c r="H359" s="14" t="s">
        <v>11</v>
      </c>
      <c r="I359" s="126"/>
      <c r="J359" s="126"/>
      <c r="K359" s="92"/>
      <c r="L359" s="26">
        <f>SUMIF($H$349:$H$361,"$$$",L$349:L$361)+L357</f>
        <v>0</v>
      </c>
      <c r="M359" s="26">
        <f t="shared" ref="M359:W359" si="796">SUMIF($H$349:$H$361,"$$$",M$349:M$361)+M357</f>
        <v>0</v>
      </c>
      <c r="N359" s="26">
        <f t="shared" si="796"/>
        <v>0</v>
      </c>
      <c r="O359" s="26">
        <f t="shared" si="796"/>
        <v>0</v>
      </c>
      <c r="P359" s="26">
        <f t="shared" si="796"/>
        <v>0</v>
      </c>
      <c r="Q359" s="26">
        <f t="shared" si="796"/>
        <v>0</v>
      </c>
      <c r="R359" s="26">
        <f t="shared" si="796"/>
        <v>0</v>
      </c>
      <c r="S359" s="26">
        <f t="shared" si="796"/>
        <v>0</v>
      </c>
      <c r="T359" s="26">
        <f t="shared" si="796"/>
        <v>0</v>
      </c>
      <c r="U359" s="26">
        <f t="shared" si="796"/>
        <v>0</v>
      </c>
      <c r="V359" s="26">
        <f t="shared" si="796"/>
        <v>0</v>
      </c>
      <c r="W359" s="26">
        <f t="shared" si="796"/>
        <v>0</v>
      </c>
      <c r="X359" s="92"/>
      <c r="Y359" s="26">
        <f>SUM(L359:W359)</f>
        <v>0</v>
      </c>
      <c r="Z359" s="92"/>
      <c r="AA359" s="28">
        <f>IFERROR($Y359/$Y$359, 0)</f>
        <v>0</v>
      </c>
      <c r="AB359" s="29">
        <f>IFERROR($Y359/$Y$398, 0)</f>
        <v>0</v>
      </c>
      <c r="AC359" s="145"/>
      <c r="AD359" s="146"/>
      <c r="AE359" s="146"/>
      <c r="AF359" s="147"/>
      <c r="AG359" s="147"/>
      <c r="AH359" s="147"/>
      <c r="AI359" s="147"/>
      <c r="AJ359" s="147"/>
      <c r="AK359" s="147"/>
      <c r="AL359" s="147"/>
    </row>
    <row r="360" spans="1:38" ht="15.75" customHeight="1" thickBot="1">
      <c r="A360" s="135"/>
      <c r="B360" s="135"/>
      <c r="C360" s="135"/>
      <c r="D360" s="135"/>
      <c r="E360" s="136" t="s">
        <v>124</v>
      </c>
      <c r="F360" s="137"/>
      <c r="G360" s="138"/>
      <c r="H360" s="139" t="s">
        <v>417</v>
      </c>
      <c r="I360" s="140"/>
      <c r="J360" s="140"/>
      <c r="K360" s="141"/>
      <c r="L360" s="142">
        <f t="shared" ref="L360:W360" si="797">L359*(1-(0.15-$H$3))</f>
        <v>0</v>
      </c>
      <c r="M360" s="142">
        <f t="shared" si="797"/>
        <v>0</v>
      </c>
      <c r="N360" s="142">
        <f t="shared" si="797"/>
        <v>0</v>
      </c>
      <c r="O360" s="142">
        <f t="shared" ref="O360:P360" si="798">O359*(1-(0.15-$H$3))</f>
        <v>0</v>
      </c>
      <c r="P360" s="142">
        <f t="shared" si="798"/>
        <v>0</v>
      </c>
      <c r="Q360" s="142">
        <f t="shared" ref="Q360" si="799">Q359*(1-(0.15-$H$3))</f>
        <v>0</v>
      </c>
      <c r="R360" s="142">
        <f t="shared" si="797"/>
        <v>0</v>
      </c>
      <c r="S360" s="142">
        <f t="shared" si="797"/>
        <v>0</v>
      </c>
      <c r="T360" s="142">
        <f t="shared" si="797"/>
        <v>0</v>
      </c>
      <c r="U360" s="142">
        <f t="shared" si="797"/>
        <v>0</v>
      </c>
      <c r="V360" s="142">
        <f t="shared" si="797"/>
        <v>0</v>
      </c>
      <c r="W360" s="142">
        <f t="shared" si="797"/>
        <v>0</v>
      </c>
      <c r="X360" s="141"/>
      <c r="Y360" s="142">
        <f>SUM(L360:W360)</f>
        <v>0</v>
      </c>
      <c r="Z360" s="141"/>
      <c r="AA360" s="143"/>
      <c r="AB360" s="144"/>
      <c r="AC360" s="145"/>
      <c r="AD360" s="146"/>
      <c r="AE360" s="146"/>
      <c r="AF360" s="147"/>
      <c r="AG360" s="147"/>
      <c r="AH360" s="147"/>
      <c r="AI360" s="147"/>
      <c r="AJ360" s="147"/>
      <c r="AK360" s="147"/>
      <c r="AL360" s="147"/>
    </row>
    <row r="361" spans="1:38" ht="15.75" customHeight="1" thickTop="1">
      <c r="A361" s="251" t="s">
        <v>433</v>
      </c>
      <c r="B361" s="240"/>
      <c r="C361" s="240"/>
      <c r="D361" s="240"/>
      <c r="E361" s="240" t="s">
        <v>98</v>
      </c>
      <c r="F361" s="240" t="s">
        <v>434</v>
      </c>
      <c r="G361" s="240"/>
      <c r="H361" s="240"/>
      <c r="I361" s="246"/>
      <c r="J361" s="246" t="s">
        <v>435</v>
      </c>
      <c r="K361" s="240"/>
      <c r="L361" s="6" t="str">
        <f t="shared" ref="L361:W361" si="800">CONCATENATE("Week ",L$2)</f>
        <v>Week 12</v>
      </c>
      <c r="M361" s="6" t="str">
        <f t="shared" si="800"/>
        <v>Week 11</v>
      </c>
      <c r="N361" s="6" t="str">
        <f t="shared" si="800"/>
        <v>Week 10</v>
      </c>
      <c r="O361" s="6" t="str">
        <f t="shared" si="800"/>
        <v>Week 9</v>
      </c>
      <c r="P361" s="6" t="str">
        <f t="shared" si="800"/>
        <v>Week 8</v>
      </c>
      <c r="Q361" s="6" t="str">
        <f t="shared" si="800"/>
        <v>Week 7</v>
      </c>
      <c r="R361" s="6" t="str">
        <f t="shared" si="800"/>
        <v>Week 6</v>
      </c>
      <c r="S361" s="6" t="str">
        <f t="shared" si="800"/>
        <v>Week 5</v>
      </c>
      <c r="T361" s="6" t="str">
        <f t="shared" si="800"/>
        <v>Week 4</v>
      </c>
      <c r="U361" s="6" t="str">
        <f t="shared" si="800"/>
        <v>Week 3</v>
      </c>
      <c r="V361" s="6" t="str">
        <f t="shared" si="800"/>
        <v>Week 2</v>
      </c>
      <c r="W361" s="6" t="str">
        <f t="shared" si="800"/>
        <v>Week 1</v>
      </c>
      <c r="X361" s="240"/>
      <c r="Y361" s="240" t="s">
        <v>11</v>
      </c>
      <c r="Z361" s="240"/>
      <c r="AA361" s="240" t="s">
        <v>125</v>
      </c>
      <c r="AB361" s="242" t="s">
        <v>13</v>
      </c>
      <c r="AC361" s="143"/>
      <c r="AD361" s="148"/>
      <c r="AE361" s="148"/>
      <c r="AF361" s="149"/>
      <c r="AG361" s="149"/>
      <c r="AH361" s="149"/>
      <c r="AI361" s="149"/>
      <c r="AJ361" s="149"/>
      <c r="AK361" s="149"/>
      <c r="AL361" s="149"/>
    </row>
    <row r="362" spans="1:38" ht="15.75" customHeight="1" thickBot="1">
      <c r="A362" s="252"/>
      <c r="B362" s="241"/>
      <c r="C362" s="253"/>
      <c r="D362" s="253"/>
      <c r="E362" s="241"/>
      <c r="F362" s="253"/>
      <c r="G362" s="253"/>
      <c r="H362" s="241"/>
      <c r="I362" s="247"/>
      <c r="J362" s="247"/>
      <c r="K362" s="241"/>
      <c r="L362" s="10" t="str">
        <f t="shared" ref="L362:W362" si="801">TEXT(L$3, "mmm d") &amp; " - " &amp; TEXT(L$4, "mmm d")</f>
        <v>Aug 11 - Aug 17</v>
      </c>
      <c r="M362" s="10" t="str">
        <f t="shared" si="801"/>
        <v>Aug 18 - Aug 24</v>
      </c>
      <c r="N362" s="10" t="str">
        <f t="shared" si="801"/>
        <v>Aug 25 - Aug 31</v>
      </c>
      <c r="O362" s="10" t="str">
        <f t="shared" si="801"/>
        <v>Sep 1 - Sep 7</v>
      </c>
      <c r="P362" s="10" t="str">
        <f t="shared" si="801"/>
        <v>Sep 8 - Sep 14</v>
      </c>
      <c r="Q362" s="10" t="str">
        <f t="shared" si="801"/>
        <v>Sep 15 - Sep 21</v>
      </c>
      <c r="R362" s="10" t="str">
        <f t="shared" si="801"/>
        <v>Sep 22 - Sep 28</v>
      </c>
      <c r="S362" s="10" t="str">
        <f t="shared" si="801"/>
        <v>Sep 29 - Oct 5</v>
      </c>
      <c r="T362" s="10" t="str">
        <f t="shared" si="801"/>
        <v>Oct 6 - Oct 12</v>
      </c>
      <c r="U362" s="10" t="str">
        <f t="shared" si="801"/>
        <v>Oct 13 - Oct 19</v>
      </c>
      <c r="V362" s="10" t="str">
        <f t="shared" si="801"/>
        <v>Oct 20 - Oct 26</v>
      </c>
      <c r="W362" s="10" t="str">
        <f t="shared" si="801"/>
        <v>Oct 27 - Nov 3</v>
      </c>
      <c r="X362" s="241"/>
      <c r="Y362" s="241"/>
      <c r="Z362" s="241"/>
      <c r="AA362" s="241"/>
      <c r="AB362" s="243"/>
      <c r="AC362" s="143"/>
      <c r="AD362" s="148"/>
      <c r="AE362" s="148"/>
      <c r="AF362" s="149"/>
      <c r="AG362" s="149"/>
      <c r="AH362" s="149"/>
      <c r="AI362" s="149"/>
      <c r="AJ362" s="149"/>
      <c r="AK362" s="149"/>
      <c r="AL362" s="149"/>
    </row>
    <row r="363" spans="1:38" ht="15.75" customHeight="1" thickTop="1">
      <c r="A363" s="17"/>
      <c r="B363" s="17"/>
      <c r="C363" s="17"/>
      <c r="D363" s="17"/>
      <c r="E363" s="14"/>
      <c r="F363" s="14"/>
      <c r="G363" s="14"/>
      <c r="H363" s="14" t="s">
        <v>126</v>
      </c>
      <c r="I363" s="234"/>
      <c r="J363" s="254" t="s">
        <v>437</v>
      </c>
      <c r="K363" s="92"/>
      <c r="L363" s="87">
        <f>L364/$A364</f>
        <v>0</v>
      </c>
      <c r="M363" s="87">
        <f t="shared" ref="M363:W363" si="802">M364/$A364</f>
        <v>0</v>
      </c>
      <c r="N363" s="87">
        <f t="shared" si="802"/>
        <v>0</v>
      </c>
      <c r="O363" s="87">
        <f t="shared" si="802"/>
        <v>0</v>
      </c>
      <c r="P363" s="87">
        <f t="shared" si="802"/>
        <v>0</v>
      </c>
      <c r="Q363" s="87">
        <f t="shared" si="802"/>
        <v>0</v>
      </c>
      <c r="R363" s="87">
        <f t="shared" si="802"/>
        <v>0</v>
      </c>
      <c r="S363" s="87">
        <f t="shared" si="802"/>
        <v>0</v>
      </c>
      <c r="T363" s="87">
        <f t="shared" si="802"/>
        <v>0</v>
      </c>
      <c r="U363" s="87">
        <f t="shared" si="802"/>
        <v>0</v>
      </c>
      <c r="V363" s="87">
        <f t="shared" si="802"/>
        <v>0</v>
      </c>
      <c r="W363" s="87">
        <f t="shared" si="802"/>
        <v>0</v>
      </c>
      <c r="X363" s="92"/>
      <c r="Y363" s="91">
        <f>SUM(L363:W363)</f>
        <v>0</v>
      </c>
      <c r="Z363" s="92"/>
      <c r="AA363" s="255">
        <f>IFERROR($Y364/$Y368, 0)</f>
        <v>0</v>
      </c>
      <c r="AB363" s="245">
        <f>IFERROR($Y364/$Y$398, 0)</f>
        <v>0</v>
      </c>
      <c r="AC363" s="145"/>
      <c r="AD363" s="146"/>
      <c r="AE363" s="146"/>
      <c r="AF363" s="147"/>
      <c r="AG363" s="147"/>
      <c r="AH363" s="147"/>
      <c r="AI363" s="147"/>
      <c r="AJ363" s="147"/>
      <c r="AK363" s="147"/>
      <c r="AL363" s="147"/>
    </row>
    <row r="364" spans="1:38" ht="15.75" customHeight="1">
      <c r="A364" s="17">
        <f>VLOOKUP($E364,'Digital Targeting'!$B$524:$E$892,4,FALSE)</f>
        <v>4.71</v>
      </c>
      <c r="B364" s="17"/>
      <c r="C364" s="249"/>
      <c r="D364" s="249"/>
      <c r="E364" s="14" t="s">
        <v>443</v>
      </c>
      <c r="F364" s="250"/>
      <c r="G364" s="250"/>
      <c r="H364" s="14" t="s">
        <v>15</v>
      </c>
      <c r="I364" s="233"/>
      <c r="J364" s="237"/>
      <c r="K364" s="92"/>
      <c r="L364" s="19">
        <v>0</v>
      </c>
      <c r="M364" s="19">
        <v>0</v>
      </c>
      <c r="N364" s="19">
        <v>0</v>
      </c>
      <c r="O364" s="19">
        <v>0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  <c r="U364" s="19">
        <v>0</v>
      </c>
      <c r="V364" s="19">
        <v>0</v>
      </c>
      <c r="W364" s="19">
        <v>0</v>
      </c>
      <c r="X364" s="92"/>
      <c r="Y364" s="20">
        <f>SUM(L364:W364)</f>
        <v>0</v>
      </c>
      <c r="Z364" s="92"/>
      <c r="AA364" s="248"/>
      <c r="AB364" s="239"/>
      <c r="AC364" s="145"/>
      <c r="AD364" s="146"/>
      <c r="AE364" s="146"/>
      <c r="AF364" s="147"/>
      <c r="AG364" s="147"/>
      <c r="AH364" s="147"/>
      <c r="AI364" s="147"/>
      <c r="AJ364" s="147"/>
      <c r="AK364" s="147"/>
      <c r="AL364" s="147"/>
    </row>
    <row r="365" spans="1:38" ht="15.75" customHeight="1">
      <c r="A365" s="17"/>
      <c r="B365" s="17"/>
      <c r="C365" s="17"/>
      <c r="D365" s="17"/>
      <c r="E365" s="14"/>
      <c r="F365" s="100"/>
      <c r="G365" s="100"/>
      <c r="H365" s="14" t="s">
        <v>126</v>
      </c>
      <c r="I365" s="233"/>
      <c r="J365" s="237" t="s">
        <v>437</v>
      </c>
      <c r="K365" s="92"/>
      <c r="L365" s="87">
        <f>L366/$A366</f>
        <v>0</v>
      </c>
      <c r="M365" s="87">
        <f t="shared" ref="M365:W365" si="803">M366/$A366</f>
        <v>0</v>
      </c>
      <c r="N365" s="87">
        <f t="shared" si="803"/>
        <v>0</v>
      </c>
      <c r="O365" s="87">
        <f t="shared" si="803"/>
        <v>0</v>
      </c>
      <c r="P365" s="87">
        <f t="shared" si="803"/>
        <v>0</v>
      </c>
      <c r="Q365" s="87">
        <f t="shared" si="803"/>
        <v>0</v>
      </c>
      <c r="R365" s="87">
        <f t="shared" si="803"/>
        <v>0</v>
      </c>
      <c r="S365" s="87">
        <f t="shared" si="803"/>
        <v>0</v>
      </c>
      <c r="T365" s="87">
        <f t="shared" si="803"/>
        <v>0</v>
      </c>
      <c r="U365" s="87">
        <f t="shared" si="803"/>
        <v>0</v>
      </c>
      <c r="V365" s="87">
        <f t="shared" si="803"/>
        <v>0</v>
      </c>
      <c r="W365" s="87">
        <f t="shared" si="803"/>
        <v>0</v>
      </c>
      <c r="X365" s="92"/>
      <c r="Y365" s="91">
        <f>SUM(L365:W365)</f>
        <v>0</v>
      </c>
      <c r="Z365" s="92"/>
      <c r="AA365" s="248">
        <f>IFERROR($Y366/$Y368, 0)</f>
        <v>0</v>
      </c>
      <c r="AB365" s="239">
        <v>0</v>
      </c>
      <c r="AC365" s="145"/>
      <c r="AD365" s="146"/>
      <c r="AE365" s="146"/>
      <c r="AF365" s="147"/>
      <c r="AG365" s="147"/>
      <c r="AH365" s="147"/>
      <c r="AI365" s="147"/>
      <c r="AJ365" s="147"/>
      <c r="AK365" s="147"/>
      <c r="AL365" s="147"/>
    </row>
    <row r="366" spans="1:38" ht="15.75" customHeight="1">
      <c r="A366" s="17">
        <f>VLOOKUP($E366,'Digital Targeting'!$B$524:$E$892,4,FALSE)</f>
        <v>4.71</v>
      </c>
      <c r="B366" s="17"/>
      <c r="C366" s="249"/>
      <c r="D366" s="249"/>
      <c r="E366" s="14" t="s">
        <v>443</v>
      </c>
      <c r="F366" s="250"/>
      <c r="G366" s="250"/>
      <c r="H366" s="14" t="s">
        <v>15</v>
      </c>
      <c r="I366" s="233"/>
      <c r="J366" s="237"/>
      <c r="K366" s="92"/>
      <c r="L366" s="19">
        <v>0</v>
      </c>
      <c r="M366" s="19">
        <v>0</v>
      </c>
      <c r="N366" s="19">
        <v>0</v>
      </c>
      <c r="O366" s="19">
        <v>0</v>
      </c>
      <c r="P366" s="19">
        <v>0</v>
      </c>
      <c r="Q366" s="19">
        <v>0</v>
      </c>
      <c r="R366" s="19">
        <v>0</v>
      </c>
      <c r="S366" s="19">
        <v>0</v>
      </c>
      <c r="T366" s="19">
        <v>0</v>
      </c>
      <c r="U366" s="19">
        <v>0</v>
      </c>
      <c r="V366" s="19">
        <v>0</v>
      </c>
      <c r="W366" s="19">
        <v>0</v>
      </c>
      <c r="X366" s="92"/>
      <c r="Y366" s="20">
        <f>SUM(L366:W366)</f>
        <v>0</v>
      </c>
      <c r="Z366" s="92"/>
      <c r="AA366" s="248"/>
      <c r="AB366" s="239"/>
      <c r="AC366" s="145"/>
      <c r="AD366" s="146"/>
      <c r="AE366" s="146"/>
      <c r="AF366" s="147"/>
      <c r="AG366" s="147"/>
      <c r="AH366" s="147"/>
      <c r="AI366" s="147"/>
      <c r="AJ366" s="147"/>
      <c r="AK366" s="147"/>
      <c r="AL366" s="147"/>
    </row>
    <row r="367" spans="1:38" ht="15.75" customHeight="1">
      <c r="A367" s="17"/>
      <c r="B367" s="17"/>
      <c r="C367" s="17"/>
      <c r="D367" s="17"/>
      <c r="E367" s="14"/>
      <c r="F367" s="14"/>
      <c r="G367" s="14"/>
      <c r="H367" s="14"/>
      <c r="I367" s="126"/>
      <c r="J367" s="126"/>
      <c r="K367" s="92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92"/>
      <c r="Y367" s="20"/>
      <c r="Z367" s="92"/>
      <c r="AA367" s="23"/>
      <c r="AB367" s="24"/>
      <c r="AC367" s="145"/>
      <c r="AD367" s="146"/>
      <c r="AE367" s="146"/>
      <c r="AF367" s="147"/>
      <c r="AG367" s="147"/>
      <c r="AH367" s="147"/>
      <c r="AI367" s="147"/>
      <c r="AJ367" s="147"/>
      <c r="AK367" s="147"/>
      <c r="AL367" s="147"/>
    </row>
    <row r="368" spans="1:38" ht="15.75" customHeight="1">
      <c r="A368" s="17"/>
      <c r="B368" s="17"/>
      <c r="C368" s="17"/>
      <c r="D368" s="17"/>
      <c r="E368" s="25" t="s">
        <v>127</v>
      </c>
      <c r="F368" s="18"/>
      <c r="G368" s="22"/>
      <c r="H368" s="14" t="s">
        <v>11</v>
      </c>
      <c r="I368" s="126"/>
      <c r="J368" s="126"/>
      <c r="K368" s="92"/>
      <c r="L368" s="26">
        <f t="shared" ref="L368:W368" si="804">SUMIF($H$362:$H$370,"$$$",L$362:L$370)</f>
        <v>0</v>
      </c>
      <c r="M368" s="26">
        <f t="shared" si="804"/>
        <v>0</v>
      </c>
      <c r="N368" s="26">
        <f t="shared" si="804"/>
        <v>0</v>
      </c>
      <c r="O368" s="26">
        <f t="shared" si="804"/>
        <v>0</v>
      </c>
      <c r="P368" s="26">
        <f t="shared" si="804"/>
        <v>0</v>
      </c>
      <c r="Q368" s="26">
        <f t="shared" si="804"/>
        <v>0</v>
      </c>
      <c r="R368" s="26">
        <f t="shared" si="804"/>
        <v>0</v>
      </c>
      <c r="S368" s="26">
        <f t="shared" si="804"/>
        <v>0</v>
      </c>
      <c r="T368" s="26">
        <f t="shared" si="804"/>
        <v>0</v>
      </c>
      <c r="U368" s="26">
        <f t="shared" si="804"/>
        <v>0</v>
      </c>
      <c r="V368" s="26">
        <f t="shared" si="804"/>
        <v>0</v>
      </c>
      <c r="W368" s="26">
        <f t="shared" si="804"/>
        <v>0</v>
      </c>
      <c r="X368" s="92"/>
      <c r="Y368" s="26">
        <f>SUM(L368:W368)</f>
        <v>0</v>
      </c>
      <c r="Z368" s="92"/>
      <c r="AA368" s="28">
        <f>IFERROR($Y368/$Y$368, 0)</f>
        <v>0</v>
      </c>
      <c r="AB368" s="29">
        <f>IFERROR($Y368/$Y$398, 0)</f>
        <v>0</v>
      </c>
      <c r="AC368" s="145"/>
      <c r="AD368" s="146"/>
      <c r="AE368" s="146"/>
      <c r="AF368" s="147"/>
      <c r="AG368" s="147"/>
      <c r="AH368" s="147"/>
      <c r="AI368" s="147"/>
      <c r="AJ368" s="147"/>
      <c r="AK368" s="147"/>
      <c r="AL368" s="147"/>
    </row>
    <row r="369" spans="1:38" ht="15.75" customHeight="1" thickBot="1">
      <c r="A369" s="135"/>
      <c r="B369" s="135"/>
      <c r="C369" s="135"/>
      <c r="D369" s="135"/>
      <c r="E369" s="136" t="s">
        <v>128</v>
      </c>
      <c r="F369" s="137"/>
      <c r="G369" s="138"/>
      <c r="H369" s="139" t="s">
        <v>417</v>
      </c>
      <c r="I369" s="176"/>
      <c r="J369" s="176"/>
      <c r="K369" s="141"/>
      <c r="L369" s="142">
        <f t="shared" ref="L369:W369" si="805">L368*(1-(0.15-$H$3))</f>
        <v>0</v>
      </c>
      <c r="M369" s="142">
        <f t="shared" si="805"/>
        <v>0</v>
      </c>
      <c r="N369" s="142">
        <f t="shared" si="805"/>
        <v>0</v>
      </c>
      <c r="O369" s="142">
        <f t="shared" ref="O369:P369" si="806">O368*(1-(0.15-$H$3))</f>
        <v>0</v>
      </c>
      <c r="P369" s="142">
        <f t="shared" si="806"/>
        <v>0</v>
      </c>
      <c r="Q369" s="142">
        <f t="shared" ref="Q369" si="807">Q368*(1-(0.15-$H$3))</f>
        <v>0</v>
      </c>
      <c r="R369" s="142">
        <f t="shared" si="805"/>
        <v>0</v>
      </c>
      <c r="S369" s="142">
        <f t="shared" si="805"/>
        <v>0</v>
      </c>
      <c r="T369" s="142">
        <f t="shared" si="805"/>
        <v>0</v>
      </c>
      <c r="U369" s="142">
        <f t="shared" si="805"/>
        <v>0</v>
      </c>
      <c r="V369" s="142">
        <f t="shared" si="805"/>
        <v>0</v>
      </c>
      <c r="W369" s="142">
        <f t="shared" si="805"/>
        <v>0</v>
      </c>
      <c r="X369" s="141"/>
      <c r="Y369" s="142">
        <f>SUM(L369:W369)</f>
        <v>0</v>
      </c>
      <c r="Z369" s="141"/>
      <c r="AA369" s="143"/>
      <c r="AB369" s="144"/>
      <c r="AC369" s="145"/>
      <c r="AD369" s="146"/>
      <c r="AE369" s="146"/>
      <c r="AF369" s="147"/>
      <c r="AG369" s="147"/>
      <c r="AH369" s="147"/>
      <c r="AI369" s="147"/>
      <c r="AJ369" s="147"/>
      <c r="AK369" s="147"/>
      <c r="AL369" s="147"/>
    </row>
    <row r="370" spans="1:38" ht="15.75" customHeight="1" thickTop="1">
      <c r="A370" s="251" t="s">
        <v>36</v>
      </c>
      <c r="B370" s="240"/>
      <c r="C370" s="240"/>
      <c r="D370" s="240"/>
      <c r="E370" s="240" t="s">
        <v>739</v>
      </c>
      <c r="F370" s="240" t="s">
        <v>442</v>
      </c>
      <c r="G370" s="240"/>
      <c r="H370" s="240"/>
      <c r="I370" s="246"/>
      <c r="J370" s="246" t="s">
        <v>435</v>
      </c>
      <c r="K370" s="240"/>
      <c r="L370" s="6" t="str">
        <f t="shared" ref="L370:W370" si="808">CONCATENATE("Week ",L$2)</f>
        <v>Week 12</v>
      </c>
      <c r="M370" s="6" t="str">
        <f t="shared" si="808"/>
        <v>Week 11</v>
      </c>
      <c r="N370" s="6" t="str">
        <f t="shared" si="808"/>
        <v>Week 10</v>
      </c>
      <c r="O370" s="6" t="str">
        <f t="shared" si="808"/>
        <v>Week 9</v>
      </c>
      <c r="P370" s="6" t="str">
        <f t="shared" si="808"/>
        <v>Week 8</v>
      </c>
      <c r="Q370" s="6" t="str">
        <f t="shared" si="808"/>
        <v>Week 7</v>
      </c>
      <c r="R370" s="6" t="str">
        <f t="shared" si="808"/>
        <v>Week 6</v>
      </c>
      <c r="S370" s="6" t="str">
        <f t="shared" si="808"/>
        <v>Week 5</v>
      </c>
      <c r="T370" s="6" t="str">
        <f t="shared" si="808"/>
        <v>Week 4</v>
      </c>
      <c r="U370" s="6" t="str">
        <f t="shared" si="808"/>
        <v>Week 3</v>
      </c>
      <c r="V370" s="6" t="str">
        <f t="shared" si="808"/>
        <v>Week 2</v>
      </c>
      <c r="W370" s="6" t="str">
        <f t="shared" si="808"/>
        <v>Week 1</v>
      </c>
      <c r="X370" s="240"/>
      <c r="Y370" s="240" t="s">
        <v>11</v>
      </c>
      <c r="Z370" s="240"/>
      <c r="AA370" s="240" t="s">
        <v>738</v>
      </c>
      <c r="AB370" s="242" t="s">
        <v>13</v>
      </c>
      <c r="AC370" s="143"/>
      <c r="AD370" s="148"/>
      <c r="AE370" s="148"/>
      <c r="AF370" s="149"/>
      <c r="AG370" s="149"/>
      <c r="AH370" s="149"/>
      <c r="AI370" s="149"/>
      <c r="AJ370" s="149"/>
      <c r="AK370" s="149"/>
      <c r="AL370" s="149"/>
    </row>
    <row r="371" spans="1:38" ht="15.75" customHeight="1" thickBot="1">
      <c r="A371" s="252"/>
      <c r="B371" s="241"/>
      <c r="C371" s="253"/>
      <c r="D371" s="253"/>
      <c r="E371" s="241"/>
      <c r="F371" s="253"/>
      <c r="G371" s="253"/>
      <c r="H371" s="241"/>
      <c r="I371" s="247"/>
      <c r="J371" s="247"/>
      <c r="K371" s="241"/>
      <c r="L371" s="10" t="str">
        <f t="shared" ref="L371:W371" si="809">TEXT(L$3, "mmm d") &amp; " - " &amp; TEXT(L$4, "mmm d")</f>
        <v>Aug 11 - Aug 17</v>
      </c>
      <c r="M371" s="10" t="str">
        <f t="shared" si="809"/>
        <v>Aug 18 - Aug 24</v>
      </c>
      <c r="N371" s="10" t="str">
        <f t="shared" si="809"/>
        <v>Aug 25 - Aug 31</v>
      </c>
      <c r="O371" s="10" t="str">
        <f t="shared" si="809"/>
        <v>Sep 1 - Sep 7</v>
      </c>
      <c r="P371" s="10" t="str">
        <f t="shared" si="809"/>
        <v>Sep 8 - Sep 14</v>
      </c>
      <c r="Q371" s="10" t="str">
        <f t="shared" si="809"/>
        <v>Sep 15 - Sep 21</v>
      </c>
      <c r="R371" s="10" t="str">
        <f t="shared" si="809"/>
        <v>Sep 22 - Sep 28</v>
      </c>
      <c r="S371" s="10" t="str">
        <f t="shared" si="809"/>
        <v>Sep 29 - Oct 5</v>
      </c>
      <c r="T371" s="10" t="str">
        <f t="shared" si="809"/>
        <v>Oct 6 - Oct 12</v>
      </c>
      <c r="U371" s="10" t="str">
        <f t="shared" si="809"/>
        <v>Oct 13 - Oct 19</v>
      </c>
      <c r="V371" s="10" t="str">
        <f t="shared" si="809"/>
        <v>Oct 20 - Oct 26</v>
      </c>
      <c r="W371" s="10" t="str">
        <f t="shared" si="809"/>
        <v>Oct 27 - Nov 3</v>
      </c>
      <c r="X371" s="241"/>
      <c r="Y371" s="241"/>
      <c r="Z371" s="241"/>
      <c r="AA371" s="241"/>
      <c r="AB371" s="243"/>
      <c r="AC371" s="143"/>
      <c r="AD371" s="148"/>
      <c r="AE371" s="150"/>
      <c r="AF371" s="150"/>
      <c r="AG371" s="151"/>
      <c r="AH371" s="150"/>
      <c r="AI371" s="150"/>
      <c r="AJ371" s="150"/>
      <c r="AK371" s="149"/>
      <c r="AL371" s="149"/>
    </row>
    <row r="372" spans="1:38" ht="15.75" customHeight="1" thickTop="1">
      <c r="A372" s="17"/>
      <c r="B372" s="17"/>
      <c r="C372" s="17"/>
      <c r="D372" s="17"/>
      <c r="E372" s="14"/>
      <c r="F372" s="25"/>
      <c r="G372" s="14"/>
      <c r="H372" s="14" t="s">
        <v>57</v>
      </c>
      <c r="I372" s="233"/>
      <c r="J372" s="237" t="s">
        <v>740</v>
      </c>
      <c r="K372" s="152"/>
      <c r="L372" s="88">
        <f>(L374*1000)/$A373</f>
        <v>0</v>
      </c>
      <c r="M372" s="88">
        <f t="shared" ref="M372:W372" si="810">(M374*1000)/$A373</f>
        <v>0</v>
      </c>
      <c r="N372" s="88">
        <f t="shared" si="810"/>
        <v>0</v>
      </c>
      <c r="O372" s="88">
        <f t="shared" ref="O372:P372" si="811">(O374*1000)/$A373</f>
        <v>0</v>
      </c>
      <c r="P372" s="88">
        <f t="shared" si="811"/>
        <v>0</v>
      </c>
      <c r="Q372" s="88">
        <f t="shared" ref="Q372" si="812">(Q374*1000)/$A373</f>
        <v>0</v>
      </c>
      <c r="R372" s="88">
        <f t="shared" si="810"/>
        <v>0</v>
      </c>
      <c r="S372" s="88">
        <f t="shared" si="810"/>
        <v>0</v>
      </c>
      <c r="T372" s="88">
        <f t="shared" si="810"/>
        <v>0</v>
      </c>
      <c r="U372" s="88">
        <f t="shared" si="810"/>
        <v>0</v>
      </c>
      <c r="V372" s="88">
        <f t="shared" si="810"/>
        <v>0</v>
      </c>
      <c r="W372" s="88">
        <f t="shared" si="810"/>
        <v>0</v>
      </c>
      <c r="X372" s="92"/>
      <c r="Y372" s="88">
        <f t="shared" ref="Y372:Y392" si="813">SUM(L372:W372)</f>
        <v>0</v>
      </c>
      <c r="Z372" s="92"/>
      <c r="AA372" s="244">
        <f>IFERROR($Y374/$Y$394, 0)</f>
        <v>0</v>
      </c>
      <c r="AB372" s="245">
        <f>IFERROR($Y374/$Y$398, 0)</f>
        <v>0</v>
      </c>
      <c r="AC372" s="145"/>
      <c r="AD372" s="146"/>
      <c r="AE372" s="146"/>
      <c r="AF372" s="147"/>
      <c r="AG372" s="147"/>
      <c r="AH372" s="147"/>
      <c r="AI372" s="147"/>
      <c r="AJ372" s="147"/>
      <c r="AK372" s="147"/>
      <c r="AL372" s="147"/>
    </row>
    <row r="373" spans="1:38" ht="15.75" customHeight="1">
      <c r="A373" s="17">
        <v>100</v>
      </c>
      <c r="B373" s="17"/>
      <c r="C373" s="95"/>
      <c r="D373" s="95"/>
      <c r="E373" s="14" t="s">
        <v>737</v>
      </c>
      <c r="F373" s="99" t="s">
        <v>422</v>
      </c>
      <c r="G373" s="88">
        <v>10000</v>
      </c>
      <c r="H373" s="14" t="s">
        <v>420</v>
      </c>
      <c r="I373" s="233"/>
      <c r="J373" s="237"/>
      <c r="K373" s="152"/>
      <c r="L373" s="89">
        <f>L372/($G373*0.7)</f>
        <v>0</v>
      </c>
      <c r="M373" s="89">
        <f t="shared" ref="M373:W373" si="814">M372/($G373*0.7)</f>
        <v>0</v>
      </c>
      <c r="N373" s="89">
        <f t="shared" si="814"/>
        <v>0</v>
      </c>
      <c r="O373" s="89">
        <f t="shared" ref="O373:P373" si="815">O372/($G373*0.7)</f>
        <v>0</v>
      </c>
      <c r="P373" s="89">
        <f t="shared" si="815"/>
        <v>0</v>
      </c>
      <c r="Q373" s="89">
        <f t="shared" ref="Q373" si="816">Q372/($G373*0.7)</f>
        <v>0</v>
      </c>
      <c r="R373" s="89">
        <f t="shared" si="814"/>
        <v>0</v>
      </c>
      <c r="S373" s="89">
        <f t="shared" si="814"/>
        <v>0</v>
      </c>
      <c r="T373" s="89">
        <f t="shared" si="814"/>
        <v>0</v>
      </c>
      <c r="U373" s="89">
        <f t="shared" si="814"/>
        <v>0</v>
      </c>
      <c r="V373" s="89">
        <f t="shared" si="814"/>
        <v>0</v>
      </c>
      <c r="W373" s="89">
        <f t="shared" si="814"/>
        <v>0</v>
      </c>
      <c r="X373" s="92"/>
      <c r="Y373" s="90">
        <f t="shared" si="813"/>
        <v>0</v>
      </c>
      <c r="Z373" s="92"/>
      <c r="AA373" s="238"/>
      <c r="AB373" s="239"/>
      <c r="AC373" s="145"/>
      <c r="AD373" s="146"/>
      <c r="AE373" s="153"/>
      <c r="AF373" s="153"/>
      <c r="AG373" s="153"/>
      <c r="AH373" s="154"/>
      <c r="AI373" s="155"/>
      <c r="AJ373" s="154"/>
      <c r="AK373" s="147"/>
      <c r="AL373" s="147"/>
    </row>
    <row r="374" spans="1:38" ht="15.75" customHeight="1">
      <c r="F374" s="156"/>
      <c r="G374" s="22"/>
      <c r="H374" s="14" t="s">
        <v>15</v>
      </c>
      <c r="I374" s="233"/>
      <c r="J374" s="237"/>
      <c r="K374" s="152"/>
      <c r="L374" s="19">
        <v>0</v>
      </c>
      <c r="M374" s="19">
        <v>0</v>
      </c>
      <c r="N374" s="19">
        <v>0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9">
        <v>0</v>
      </c>
      <c r="U374" s="19">
        <v>0</v>
      </c>
      <c r="V374" s="19">
        <v>0</v>
      </c>
      <c r="W374" s="19">
        <v>0</v>
      </c>
      <c r="X374" s="92"/>
      <c r="Y374" s="20">
        <f t="shared" si="813"/>
        <v>0</v>
      </c>
      <c r="Z374" s="92"/>
      <c r="AA374" s="238"/>
      <c r="AB374" s="239"/>
      <c r="AC374" s="145"/>
      <c r="AD374" s="146"/>
      <c r="AE374" s="146"/>
      <c r="AF374" s="147"/>
      <c r="AG374" s="147"/>
      <c r="AH374" s="147"/>
      <c r="AI374" s="147"/>
      <c r="AJ374" s="147"/>
      <c r="AK374" s="147"/>
      <c r="AL374" s="147"/>
    </row>
    <row r="375" spans="1:38" ht="15.75" customHeight="1">
      <c r="A375" s="17"/>
      <c r="B375" s="17"/>
      <c r="C375" s="17"/>
      <c r="D375" s="17"/>
      <c r="E375" s="14"/>
      <c r="F375" s="100"/>
      <c r="G375" s="14"/>
      <c r="H375" s="14" t="s">
        <v>57</v>
      </c>
      <c r="I375" s="233"/>
      <c r="J375" s="237" t="s">
        <v>740</v>
      </c>
      <c r="K375" s="152"/>
      <c r="L375" s="88">
        <f>(L377*1000)/$A376</f>
        <v>0</v>
      </c>
      <c r="M375" s="88">
        <f t="shared" ref="M375:W375" si="817">(M377*1000)/$A376</f>
        <v>0</v>
      </c>
      <c r="N375" s="88">
        <f t="shared" si="817"/>
        <v>0</v>
      </c>
      <c r="O375" s="88">
        <f t="shared" ref="O375:P375" si="818">(O377*1000)/$A376</f>
        <v>0</v>
      </c>
      <c r="P375" s="88">
        <f t="shared" si="818"/>
        <v>0</v>
      </c>
      <c r="Q375" s="88">
        <f t="shared" ref="Q375" si="819">(Q377*1000)/$A376</f>
        <v>0</v>
      </c>
      <c r="R375" s="88">
        <f t="shared" si="817"/>
        <v>0</v>
      </c>
      <c r="S375" s="88">
        <f t="shared" si="817"/>
        <v>0</v>
      </c>
      <c r="T375" s="88">
        <f t="shared" si="817"/>
        <v>0</v>
      </c>
      <c r="U375" s="88">
        <f t="shared" si="817"/>
        <v>0</v>
      </c>
      <c r="V375" s="88">
        <f t="shared" si="817"/>
        <v>0</v>
      </c>
      <c r="W375" s="88">
        <f t="shared" si="817"/>
        <v>0</v>
      </c>
      <c r="X375" s="92"/>
      <c r="Y375" s="88">
        <f t="shared" si="813"/>
        <v>0</v>
      </c>
      <c r="Z375" s="92"/>
      <c r="AA375" s="238">
        <f>IFERROR($Y377/$Y$394, 0)</f>
        <v>0</v>
      </c>
      <c r="AB375" s="239">
        <f>IFERROR($Y377/$Y$398, 0)</f>
        <v>0</v>
      </c>
      <c r="AC375" s="145"/>
      <c r="AD375" s="146"/>
      <c r="AE375" s="146"/>
      <c r="AF375" s="147"/>
      <c r="AG375" s="147"/>
      <c r="AH375" s="147"/>
      <c r="AI375" s="147"/>
      <c r="AJ375" s="147"/>
      <c r="AK375" s="147"/>
      <c r="AL375" s="147"/>
    </row>
    <row r="376" spans="1:38" ht="15.75" customHeight="1">
      <c r="A376" s="17">
        <v>100</v>
      </c>
      <c r="B376" s="17"/>
      <c r="C376" s="95"/>
      <c r="D376" s="95"/>
      <c r="E376" s="14" t="s">
        <v>737</v>
      </c>
      <c r="F376" s="99" t="s">
        <v>422</v>
      </c>
      <c r="G376" s="88">
        <v>10000</v>
      </c>
      <c r="H376" s="14" t="s">
        <v>420</v>
      </c>
      <c r="I376" s="233"/>
      <c r="J376" s="237"/>
      <c r="K376" s="152"/>
      <c r="L376" s="89">
        <f>L375/($G376*0.7)</f>
        <v>0</v>
      </c>
      <c r="M376" s="89">
        <f t="shared" ref="M376:W376" si="820">M375/($G376*0.7)</f>
        <v>0</v>
      </c>
      <c r="N376" s="89">
        <f t="shared" si="820"/>
        <v>0</v>
      </c>
      <c r="O376" s="89">
        <f t="shared" ref="O376:P376" si="821">O375/($G376*0.7)</f>
        <v>0</v>
      </c>
      <c r="P376" s="89">
        <f t="shared" si="821"/>
        <v>0</v>
      </c>
      <c r="Q376" s="89">
        <f t="shared" ref="Q376" si="822">Q375/($G376*0.7)</f>
        <v>0</v>
      </c>
      <c r="R376" s="89">
        <f t="shared" si="820"/>
        <v>0</v>
      </c>
      <c r="S376" s="89">
        <f t="shared" si="820"/>
        <v>0</v>
      </c>
      <c r="T376" s="89">
        <f t="shared" si="820"/>
        <v>0</v>
      </c>
      <c r="U376" s="89">
        <f t="shared" si="820"/>
        <v>0</v>
      </c>
      <c r="V376" s="89">
        <f t="shared" si="820"/>
        <v>0</v>
      </c>
      <c r="W376" s="89">
        <f t="shared" si="820"/>
        <v>0</v>
      </c>
      <c r="X376" s="92"/>
      <c r="Y376" s="90">
        <f t="shared" si="813"/>
        <v>0</v>
      </c>
      <c r="Z376" s="92"/>
      <c r="AA376" s="238"/>
      <c r="AB376" s="239"/>
      <c r="AC376" s="145"/>
      <c r="AD376" s="146"/>
      <c r="AE376" s="153"/>
      <c r="AF376" s="153"/>
      <c r="AG376" s="153"/>
      <c r="AH376" s="154"/>
      <c r="AI376" s="155"/>
      <c r="AJ376" s="154"/>
      <c r="AK376" s="147"/>
      <c r="AL376" s="147"/>
    </row>
    <row r="377" spans="1:38" ht="15.75" customHeight="1">
      <c r="F377" s="156"/>
      <c r="G377" s="22"/>
      <c r="H377" s="14" t="s">
        <v>15</v>
      </c>
      <c r="I377" s="233"/>
      <c r="J377" s="237"/>
      <c r="K377" s="152"/>
      <c r="L377" s="19">
        <v>0</v>
      </c>
      <c r="M377" s="19">
        <v>0</v>
      </c>
      <c r="N377" s="19">
        <v>0</v>
      </c>
      <c r="O377" s="19">
        <v>0</v>
      </c>
      <c r="P377" s="19">
        <v>0</v>
      </c>
      <c r="Q377" s="19">
        <v>0</v>
      </c>
      <c r="R377" s="19">
        <v>0</v>
      </c>
      <c r="S377" s="19">
        <v>0</v>
      </c>
      <c r="T377" s="19">
        <v>0</v>
      </c>
      <c r="U377" s="19">
        <v>0</v>
      </c>
      <c r="V377" s="19">
        <v>0</v>
      </c>
      <c r="W377" s="19">
        <v>0</v>
      </c>
      <c r="X377" s="92"/>
      <c r="Y377" s="20">
        <f t="shared" si="813"/>
        <v>0</v>
      </c>
      <c r="Z377" s="92"/>
      <c r="AA377" s="238"/>
      <c r="AB377" s="239"/>
      <c r="AC377" s="145"/>
      <c r="AD377" s="146"/>
      <c r="AE377" s="146"/>
      <c r="AF377" s="147"/>
      <c r="AG377" s="147"/>
      <c r="AH377" s="147"/>
      <c r="AI377" s="147"/>
      <c r="AJ377" s="147"/>
      <c r="AK377" s="147"/>
      <c r="AL377" s="147"/>
    </row>
    <row r="378" spans="1:38" ht="15.75" customHeight="1">
      <c r="A378" s="17"/>
      <c r="B378" s="17"/>
      <c r="C378" s="17"/>
      <c r="D378" s="17"/>
      <c r="E378" s="14"/>
      <c r="F378" s="100"/>
      <c r="G378" s="14"/>
      <c r="H378" s="14" t="s">
        <v>57</v>
      </c>
      <c r="I378" s="233"/>
      <c r="J378" s="237" t="s">
        <v>740</v>
      </c>
      <c r="K378" s="152"/>
      <c r="L378" s="88">
        <f>(L380*1000)/$A379</f>
        <v>0</v>
      </c>
      <c r="M378" s="88">
        <f t="shared" ref="M378:W378" si="823">(M380*1000)/$A379</f>
        <v>0</v>
      </c>
      <c r="N378" s="88">
        <f t="shared" si="823"/>
        <v>0</v>
      </c>
      <c r="O378" s="88">
        <f t="shared" ref="O378:P378" si="824">(O380*1000)/$A379</f>
        <v>0</v>
      </c>
      <c r="P378" s="88">
        <f t="shared" si="824"/>
        <v>0</v>
      </c>
      <c r="Q378" s="88">
        <f t="shared" ref="Q378" si="825">(Q380*1000)/$A379</f>
        <v>0</v>
      </c>
      <c r="R378" s="88">
        <f t="shared" si="823"/>
        <v>0</v>
      </c>
      <c r="S378" s="88">
        <f t="shared" si="823"/>
        <v>0</v>
      </c>
      <c r="T378" s="88">
        <f t="shared" si="823"/>
        <v>0</v>
      </c>
      <c r="U378" s="88">
        <f t="shared" si="823"/>
        <v>0</v>
      </c>
      <c r="V378" s="88">
        <f t="shared" si="823"/>
        <v>0</v>
      </c>
      <c r="W378" s="88">
        <f t="shared" si="823"/>
        <v>0</v>
      </c>
      <c r="X378" s="92"/>
      <c r="Y378" s="88">
        <f t="shared" si="813"/>
        <v>0</v>
      </c>
      <c r="Z378" s="92"/>
      <c r="AA378" s="238">
        <f>IFERROR($Y380/$Y$394, 0)</f>
        <v>0</v>
      </c>
      <c r="AB378" s="239">
        <f>IFERROR($Y380/$Y$398, 0)</f>
        <v>0</v>
      </c>
      <c r="AC378" s="145"/>
      <c r="AD378" s="146"/>
      <c r="AE378" s="146"/>
      <c r="AF378" s="147"/>
      <c r="AG378" s="147"/>
      <c r="AH378" s="147"/>
      <c r="AI378" s="147"/>
      <c r="AJ378" s="147"/>
      <c r="AK378" s="147"/>
      <c r="AL378" s="147"/>
    </row>
    <row r="379" spans="1:38" ht="15.75" customHeight="1">
      <c r="A379" s="17">
        <v>100</v>
      </c>
      <c r="B379" s="17"/>
      <c r="C379" s="95"/>
      <c r="D379" s="95"/>
      <c r="E379" s="14" t="s">
        <v>737</v>
      </c>
      <c r="F379" s="99" t="s">
        <v>422</v>
      </c>
      <c r="G379" s="88">
        <v>10000</v>
      </c>
      <c r="H379" s="14" t="s">
        <v>420</v>
      </c>
      <c r="I379" s="233"/>
      <c r="J379" s="237"/>
      <c r="K379" s="152"/>
      <c r="L379" s="89">
        <f>L378/($G379*0.7)</f>
        <v>0</v>
      </c>
      <c r="M379" s="89">
        <f t="shared" ref="M379:W379" si="826">M378/($G379*0.7)</f>
        <v>0</v>
      </c>
      <c r="N379" s="89">
        <f t="shared" si="826"/>
        <v>0</v>
      </c>
      <c r="O379" s="89">
        <f t="shared" ref="O379:P379" si="827">O378/($G379*0.7)</f>
        <v>0</v>
      </c>
      <c r="P379" s="89">
        <f t="shared" si="827"/>
        <v>0</v>
      </c>
      <c r="Q379" s="89">
        <f t="shared" ref="Q379" si="828">Q378/($G379*0.7)</f>
        <v>0</v>
      </c>
      <c r="R379" s="89">
        <f t="shared" si="826"/>
        <v>0</v>
      </c>
      <c r="S379" s="89">
        <f t="shared" si="826"/>
        <v>0</v>
      </c>
      <c r="T379" s="89">
        <f t="shared" si="826"/>
        <v>0</v>
      </c>
      <c r="U379" s="89">
        <f t="shared" si="826"/>
        <v>0</v>
      </c>
      <c r="V379" s="89">
        <f t="shared" si="826"/>
        <v>0</v>
      </c>
      <c r="W379" s="89">
        <f t="shared" si="826"/>
        <v>0</v>
      </c>
      <c r="X379" s="92"/>
      <c r="Y379" s="90">
        <f t="shared" si="813"/>
        <v>0</v>
      </c>
      <c r="Z379" s="92"/>
      <c r="AA379" s="238"/>
      <c r="AB379" s="239"/>
      <c r="AC379" s="145"/>
      <c r="AD379" s="146"/>
      <c r="AE379" s="153"/>
      <c r="AF379" s="153"/>
      <c r="AG379" s="153"/>
      <c r="AH379" s="154"/>
      <c r="AI379" s="155"/>
      <c r="AJ379" s="154"/>
      <c r="AK379" s="147"/>
      <c r="AL379" s="147"/>
    </row>
    <row r="380" spans="1:38" ht="15.75" customHeight="1">
      <c r="F380" s="156"/>
      <c r="G380" s="22"/>
      <c r="H380" s="14" t="s">
        <v>15</v>
      </c>
      <c r="I380" s="233"/>
      <c r="J380" s="237"/>
      <c r="K380" s="152"/>
      <c r="L380" s="19">
        <v>0</v>
      </c>
      <c r="M380" s="19">
        <v>0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V380" s="19">
        <v>0</v>
      </c>
      <c r="W380" s="19">
        <v>0</v>
      </c>
      <c r="X380" s="92"/>
      <c r="Y380" s="20">
        <f t="shared" si="813"/>
        <v>0</v>
      </c>
      <c r="Z380" s="92"/>
      <c r="AA380" s="238"/>
      <c r="AB380" s="239"/>
      <c r="AC380" s="145"/>
      <c r="AD380" s="146"/>
      <c r="AE380" s="146"/>
      <c r="AF380" s="147"/>
      <c r="AG380" s="147"/>
      <c r="AH380" s="147"/>
      <c r="AI380" s="147"/>
      <c r="AJ380" s="147"/>
      <c r="AK380" s="147"/>
      <c r="AL380" s="147"/>
    </row>
    <row r="381" spans="1:38" ht="15.75" customHeight="1">
      <c r="A381" s="17"/>
      <c r="B381" s="17"/>
      <c r="C381" s="17"/>
      <c r="D381" s="17"/>
      <c r="E381" s="14"/>
      <c r="F381" s="100"/>
      <c r="G381" s="14"/>
      <c r="H381" s="14" t="s">
        <v>57</v>
      </c>
      <c r="I381" s="233"/>
      <c r="J381" s="237" t="s">
        <v>740</v>
      </c>
      <c r="K381" s="152"/>
      <c r="L381" s="88">
        <f>(L383*1000)/$A382</f>
        <v>0</v>
      </c>
      <c r="M381" s="88">
        <f t="shared" ref="M381:W381" si="829">(M383*1000)/$A382</f>
        <v>0</v>
      </c>
      <c r="N381" s="88">
        <f t="shared" si="829"/>
        <v>0</v>
      </c>
      <c r="O381" s="88">
        <f t="shared" ref="O381:P381" si="830">(O383*1000)/$A382</f>
        <v>0</v>
      </c>
      <c r="P381" s="88">
        <f t="shared" si="830"/>
        <v>0</v>
      </c>
      <c r="Q381" s="88">
        <f t="shared" ref="Q381" si="831">(Q383*1000)/$A382</f>
        <v>0</v>
      </c>
      <c r="R381" s="88">
        <f t="shared" si="829"/>
        <v>0</v>
      </c>
      <c r="S381" s="88">
        <f t="shared" si="829"/>
        <v>0</v>
      </c>
      <c r="T381" s="88">
        <f t="shared" si="829"/>
        <v>0</v>
      </c>
      <c r="U381" s="88">
        <f t="shared" si="829"/>
        <v>0</v>
      </c>
      <c r="V381" s="88">
        <f t="shared" si="829"/>
        <v>0</v>
      </c>
      <c r="W381" s="88">
        <f t="shared" si="829"/>
        <v>0</v>
      </c>
      <c r="X381" s="92"/>
      <c r="Y381" s="88">
        <f t="shared" si="813"/>
        <v>0</v>
      </c>
      <c r="Z381" s="92"/>
      <c r="AA381" s="238">
        <f>IFERROR($Y383/$Y$394, 0)</f>
        <v>0</v>
      </c>
      <c r="AB381" s="239">
        <f>IFERROR($Y383/$Y$398, 0)</f>
        <v>0</v>
      </c>
      <c r="AC381" s="145"/>
      <c r="AD381" s="146"/>
      <c r="AE381" s="146"/>
      <c r="AF381" s="147"/>
      <c r="AG381" s="147"/>
      <c r="AH381" s="147"/>
      <c r="AI381" s="147"/>
      <c r="AJ381" s="147"/>
      <c r="AK381" s="147"/>
      <c r="AL381" s="147"/>
    </row>
    <row r="382" spans="1:38" ht="15.75" customHeight="1">
      <c r="A382" s="17">
        <v>100</v>
      </c>
      <c r="B382" s="17"/>
      <c r="C382" s="95"/>
      <c r="D382" s="95"/>
      <c r="E382" s="14" t="s">
        <v>737</v>
      </c>
      <c r="F382" s="99" t="s">
        <v>422</v>
      </c>
      <c r="G382" s="88">
        <v>10000</v>
      </c>
      <c r="H382" s="14" t="s">
        <v>420</v>
      </c>
      <c r="I382" s="233"/>
      <c r="J382" s="237"/>
      <c r="K382" s="152"/>
      <c r="L382" s="89">
        <f>L381/($G382*0.7)</f>
        <v>0</v>
      </c>
      <c r="M382" s="89">
        <f t="shared" ref="M382:W382" si="832">M381/($G382*0.7)</f>
        <v>0</v>
      </c>
      <c r="N382" s="89">
        <f t="shared" si="832"/>
        <v>0</v>
      </c>
      <c r="O382" s="89">
        <f t="shared" ref="O382:P382" si="833">O381/($G382*0.7)</f>
        <v>0</v>
      </c>
      <c r="P382" s="89">
        <f t="shared" si="833"/>
        <v>0</v>
      </c>
      <c r="Q382" s="89">
        <f t="shared" ref="Q382" si="834">Q381/($G382*0.7)</f>
        <v>0</v>
      </c>
      <c r="R382" s="89">
        <f t="shared" si="832"/>
        <v>0</v>
      </c>
      <c r="S382" s="89">
        <f t="shared" si="832"/>
        <v>0</v>
      </c>
      <c r="T382" s="89">
        <f t="shared" si="832"/>
        <v>0</v>
      </c>
      <c r="U382" s="89">
        <f t="shared" si="832"/>
        <v>0</v>
      </c>
      <c r="V382" s="89">
        <f t="shared" si="832"/>
        <v>0</v>
      </c>
      <c r="W382" s="89">
        <f t="shared" si="832"/>
        <v>0</v>
      </c>
      <c r="X382" s="92"/>
      <c r="Y382" s="90">
        <f t="shared" si="813"/>
        <v>0</v>
      </c>
      <c r="Z382" s="92"/>
      <c r="AA382" s="238"/>
      <c r="AB382" s="239"/>
      <c r="AC382" s="145"/>
      <c r="AD382" s="146"/>
      <c r="AE382" s="153"/>
      <c r="AF382" s="153"/>
      <c r="AG382" s="153"/>
      <c r="AH382" s="154"/>
      <c r="AI382" s="155"/>
      <c r="AJ382" s="154"/>
      <c r="AK382" s="147"/>
      <c r="AL382" s="147"/>
    </row>
    <row r="383" spans="1:38" ht="15.75" customHeight="1">
      <c r="F383" s="156"/>
      <c r="G383" s="22"/>
      <c r="H383" s="14" t="s">
        <v>15</v>
      </c>
      <c r="I383" s="233"/>
      <c r="J383" s="237"/>
      <c r="K383" s="152"/>
      <c r="L383" s="19">
        <v>0</v>
      </c>
      <c r="M383" s="19">
        <v>0</v>
      </c>
      <c r="N383" s="19">
        <v>0</v>
      </c>
      <c r="O383" s="19">
        <v>0</v>
      </c>
      <c r="P383" s="19">
        <v>0</v>
      </c>
      <c r="Q383" s="19">
        <v>0</v>
      </c>
      <c r="R383" s="19">
        <v>0</v>
      </c>
      <c r="S383" s="19">
        <v>0</v>
      </c>
      <c r="T383" s="19">
        <v>0</v>
      </c>
      <c r="U383" s="19">
        <v>0</v>
      </c>
      <c r="V383" s="19">
        <v>0</v>
      </c>
      <c r="W383" s="19">
        <v>0</v>
      </c>
      <c r="X383" s="92"/>
      <c r="Y383" s="20">
        <f t="shared" si="813"/>
        <v>0</v>
      </c>
      <c r="Z383" s="92"/>
      <c r="AA383" s="238"/>
      <c r="AB383" s="239"/>
      <c r="AC383" s="145"/>
      <c r="AD383" s="146"/>
      <c r="AE383" s="146"/>
      <c r="AF383" s="147"/>
      <c r="AG383" s="147"/>
      <c r="AH383" s="147"/>
      <c r="AI383" s="147"/>
      <c r="AJ383" s="147"/>
      <c r="AK383" s="147"/>
      <c r="AL383" s="147"/>
    </row>
    <row r="384" spans="1:38" ht="15.75" customHeight="1">
      <c r="A384" s="17"/>
      <c r="B384" s="17"/>
      <c r="C384" s="17"/>
      <c r="D384" s="17"/>
      <c r="E384" s="14"/>
      <c r="F384" s="100"/>
      <c r="G384" s="14"/>
      <c r="H384" s="14" t="s">
        <v>57</v>
      </c>
      <c r="I384" s="233"/>
      <c r="J384" s="237" t="s">
        <v>740</v>
      </c>
      <c r="K384" s="152"/>
      <c r="L384" s="88">
        <f>(L386*1000)/$A385</f>
        <v>0</v>
      </c>
      <c r="M384" s="88">
        <f t="shared" ref="M384:W384" si="835">(M386*1000)/$A385</f>
        <v>0</v>
      </c>
      <c r="N384" s="88">
        <f t="shared" si="835"/>
        <v>0</v>
      </c>
      <c r="O384" s="88">
        <f t="shared" ref="O384:P384" si="836">(O386*1000)/$A385</f>
        <v>0</v>
      </c>
      <c r="P384" s="88">
        <f t="shared" si="836"/>
        <v>0</v>
      </c>
      <c r="Q384" s="88">
        <f t="shared" ref="Q384" si="837">(Q386*1000)/$A385</f>
        <v>0</v>
      </c>
      <c r="R384" s="88">
        <f t="shared" si="835"/>
        <v>0</v>
      </c>
      <c r="S384" s="88">
        <f t="shared" si="835"/>
        <v>0</v>
      </c>
      <c r="T384" s="88">
        <f t="shared" si="835"/>
        <v>0</v>
      </c>
      <c r="U384" s="88">
        <f t="shared" si="835"/>
        <v>0</v>
      </c>
      <c r="V384" s="88">
        <f t="shared" si="835"/>
        <v>0</v>
      </c>
      <c r="W384" s="88">
        <f t="shared" si="835"/>
        <v>0</v>
      </c>
      <c r="X384" s="92"/>
      <c r="Y384" s="88">
        <f t="shared" si="813"/>
        <v>0</v>
      </c>
      <c r="Z384" s="92"/>
      <c r="AA384" s="238">
        <f>IFERROR($Y386/$Y$394, 0)</f>
        <v>0</v>
      </c>
      <c r="AB384" s="239">
        <f>IFERROR($Y386/$Y$398, 0)</f>
        <v>0</v>
      </c>
      <c r="AC384" s="145"/>
      <c r="AD384" s="146"/>
      <c r="AE384" s="146"/>
      <c r="AF384" s="147"/>
      <c r="AG384" s="147"/>
      <c r="AH384" s="147"/>
      <c r="AI384" s="147"/>
      <c r="AJ384" s="147"/>
      <c r="AK384" s="147"/>
      <c r="AL384" s="147"/>
    </row>
    <row r="385" spans="1:38" ht="15.75" customHeight="1">
      <c r="A385" s="17">
        <v>100</v>
      </c>
      <c r="B385" s="17"/>
      <c r="C385" s="95"/>
      <c r="D385" s="95"/>
      <c r="E385" s="14" t="s">
        <v>737</v>
      </c>
      <c r="F385" s="99" t="s">
        <v>422</v>
      </c>
      <c r="G385" s="88">
        <v>10000</v>
      </c>
      <c r="H385" s="14" t="s">
        <v>420</v>
      </c>
      <c r="I385" s="233"/>
      <c r="J385" s="237"/>
      <c r="K385" s="152"/>
      <c r="L385" s="89">
        <f>L384/($G385*0.7)</f>
        <v>0</v>
      </c>
      <c r="M385" s="89">
        <f t="shared" ref="M385:W385" si="838">M384/($G385*0.7)</f>
        <v>0</v>
      </c>
      <c r="N385" s="89">
        <f t="shared" si="838"/>
        <v>0</v>
      </c>
      <c r="O385" s="89">
        <f t="shared" ref="O385:P385" si="839">O384/($G385*0.7)</f>
        <v>0</v>
      </c>
      <c r="P385" s="89">
        <f t="shared" si="839"/>
        <v>0</v>
      </c>
      <c r="Q385" s="89">
        <f t="shared" ref="Q385" si="840">Q384/($G385*0.7)</f>
        <v>0</v>
      </c>
      <c r="R385" s="89">
        <f t="shared" si="838"/>
        <v>0</v>
      </c>
      <c r="S385" s="89">
        <f t="shared" si="838"/>
        <v>0</v>
      </c>
      <c r="T385" s="89">
        <f t="shared" si="838"/>
        <v>0</v>
      </c>
      <c r="U385" s="89">
        <f t="shared" si="838"/>
        <v>0</v>
      </c>
      <c r="V385" s="89">
        <f t="shared" si="838"/>
        <v>0</v>
      </c>
      <c r="W385" s="89">
        <f t="shared" si="838"/>
        <v>0</v>
      </c>
      <c r="X385" s="92"/>
      <c r="Y385" s="90">
        <f t="shared" si="813"/>
        <v>0</v>
      </c>
      <c r="Z385" s="92"/>
      <c r="AA385" s="238"/>
      <c r="AB385" s="239"/>
      <c r="AC385" s="145"/>
      <c r="AD385" s="146"/>
      <c r="AE385" s="153"/>
      <c r="AF385" s="153"/>
      <c r="AG385" s="153"/>
      <c r="AH385" s="154"/>
      <c r="AI385" s="155"/>
      <c r="AJ385" s="154"/>
      <c r="AK385" s="147"/>
      <c r="AL385" s="147"/>
    </row>
    <row r="386" spans="1:38" ht="15.75" customHeight="1">
      <c r="F386" s="156"/>
      <c r="G386" s="22"/>
      <c r="H386" s="14" t="s">
        <v>15</v>
      </c>
      <c r="I386" s="233"/>
      <c r="J386" s="237"/>
      <c r="K386" s="152"/>
      <c r="L386" s="19">
        <v>0</v>
      </c>
      <c r="M386" s="19">
        <v>0</v>
      </c>
      <c r="N386" s="19">
        <v>0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v>0</v>
      </c>
      <c r="U386" s="19">
        <v>0</v>
      </c>
      <c r="V386" s="19">
        <v>0</v>
      </c>
      <c r="W386" s="19">
        <v>0</v>
      </c>
      <c r="X386" s="92"/>
      <c r="Y386" s="20">
        <f t="shared" si="813"/>
        <v>0</v>
      </c>
      <c r="Z386" s="92"/>
      <c r="AA386" s="238"/>
      <c r="AB386" s="239"/>
      <c r="AC386" s="145"/>
      <c r="AD386" s="146"/>
      <c r="AE386" s="146"/>
      <c r="AF386" s="147"/>
      <c r="AG386" s="147"/>
      <c r="AH386" s="147"/>
      <c r="AI386" s="147"/>
      <c r="AJ386" s="147"/>
      <c r="AK386" s="147"/>
      <c r="AL386" s="147"/>
    </row>
    <row r="387" spans="1:38" ht="15.75" customHeight="1">
      <c r="A387" s="17"/>
      <c r="B387" s="17"/>
      <c r="C387" s="17"/>
      <c r="D387" s="17"/>
      <c r="E387" s="14"/>
      <c r="F387" s="100"/>
      <c r="G387" s="14"/>
      <c r="H387" s="14" t="s">
        <v>57</v>
      </c>
      <c r="I387" s="233"/>
      <c r="J387" s="237" t="s">
        <v>740</v>
      </c>
      <c r="K387" s="152"/>
      <c r="L387" s="88">
        <f>(L389*1000)/$A388</f>
        <v>0</v>
      </c>
      <c r="M387" s="88">
        <f t="shared" ref="M387:W387" si="841">(M389*1000)/$A388</f>
        <v>0</v>
      </c>
      <c r="N387" s="88">
        <f t="shared" si="841"/>
        <v>0</v>
      </c>
      <c r="O387" s="88">
        <f t="shared" ref="O387:P387" si="842">(O389*1000)/$A388</f>
        <v>0</v>
      </c>
      <c r="P387" s="88">
        <f t="shared" si="842"/>
        <v>0</v>
      </c>
      <c r="Q387" s="88">
        <f t="shared" ref="Q387" si="843">(Q389*1000)/$A388</f>
        <v>0</v>
      </c>
      <c r="R387" s="88">
        <f t="shared" si="841"/>
        <v>0</v>
      </c>
      <c r="S387" s="88">
        <f t="shared" si="841"/>
        <v>0</v>
      </c>
      <c r="T387" s="88">
        <f t="shared" si="841"/>
        <v>0</v>
      </c>
      <c r="U387" s="88">
        <f t="shared" si="841"/>
        <v>0</v>
      </c>
      <c r="V387" s="88">
        <f t="shared" si="841"/>
        <v>0</v>
      </c>
      <c r="W387" s="88">
        <f t="shared" si="841"/>
        <v>0</v>
      </c>
      <c r="X387" s="92"/>
      <c r="Y387" s="88">
        <f t="shared" si="813"/>
        <v>0</v>
      </c>
      <c r="Z387" s="92"/>
      <c r="AA387" s="238">
        <f>IFERROR($Y389/$Y$394, 0)</f>
        <v>0</v>
      </c>
      <c r="AB387" s="239">
        <f>IFERROR($Y389/$Y$398, 0)</f>
        <v>0</v>
      </c>
      <c r="AC387" s="145"/>
      <c r="AD387" s="146"/>
      <c r="AE387" s="146"/>
      <c r="AF387" s="147"/>
      <c r="AG387" s="147"/>
      <c r="AH387" s="147"/>
      <c r="AI387" s="147"/>
      <c r="AJ387" s="147"/>
      <c r="AK387" s="147"/>
      <c r="AL387" s="147"/>
    </row>
    <row r="388" spans="1:38" ht="15.75" customHeight="1">
      <c r="A388" s="17">
        <v>100</v>
      </c>
      <c r="B388" s="17"/>
      <c r="C388" s="95"/>
      <c r="D388" s="95"/>
      <c r="E388" s="14" t="s">
        <v>737</v>
      </c>
      <c r="F388" s="99" t="s">
        <v>422</v>
      </c>
      <c r="G388" s="88">
        <v>10000</v>
      </c>
      <c r="H388" s="14" t="s">
        <v>420</v>
      </c>
      <c r="I388" s="233"/>
      <c r="J388" s="237"/>
      <c r="K388" s="152"/>
      <c r="L388" s="89">
        <f>L387/($G388*0.7)</f>
        <v>0</v>
      </c>
      <c r="M388" s="89">
        <f t="shared" ref="M388:W388" si="844">M387/($G388*0.7)</f>
        <v>0</v>
      </c>
      <c r="N388" s="89">
        <f t="shared" si="844"/>
        <v>0</v>
      </c>
      <c r="O388" s="89">
        <f t="shared" ref="O388:P388" si="845">O387/($G388*0.7)</f>
        <v>0</v>
      </c>
      <c r="P388" s="89">
        <f t="shared" si="845"/>
        <v>0</v>
      </c>
      <c r="Q388" s="89">
        <f t="shared" ref="Q388" si="846">Q387/($G388*0.7)</f>
        <v>0</v>
      </c>
      <c r="R388" s="89">
        <f t="shared" si="844"/>
        <v>0</v>
      </c>
      <c r="S388" s="89">
        <f t="shared" si="844"/>
        <v>0</v>
      </c>
      <c r="T388" s="89">
        <f t="shared" si="844"/>
        <v>0</v>
      </c>
      <c r="U388" s="89">
        <f t="shared" si="844"/>
        <v>0</v>
      </c>
      <c r="V388" s="89">
        <f t="shared" si="844"/>
        <v>0</v>
      </c>
      <c r="W388" s="89">
        <f t="shared" si="844"/>
        <v>0</v>
      </c>
      <c r="X388" s="92"/>
      <c r="Y388" s="90">
        <f t="shared" si="813"/>
        <v>0</v>
      </c>
      <c r="Z388" s="92"/>
      <c r="AA388" s="238"/>
      <c r="AB388" s="239"/>
      <c r="AC388" s="145"/>
      <c r="AD388" s="146"/>
      <c r="AE388" s="153"/>
      <c r="AF388" s="153"/>
      <c r="AG388" s="153"/>
      <c r="AH388" s="154"/>
      <c r="AI388" s="155"/>
      <c r="AJ388" s="154"/>
      <c r="AK388" s="147"/>
      <c r="AL388" s="147"/>
    </row>
    <row r="389" spans="1:38" ht="15.75" customHeight="1">
      <c r="F389" s="156"/>
      <c r="G389" s="22"/>
      <c r="H389" s="14" t="s">
        <v>15</v>
      </c>
      <c r="I389" s="233"/>
      <c r="J389" s="237"/>
      <c r="K389" s="152"/>
      <c r="L389" s="19">
        <v>0</v>
      </c>
      <c r="M389" s="19">
        <v>0</v>
      </c>
      <c r="N389" s="19">
        <v>0</v>
      </c>
      <c r="O389" s="19">
        <v>0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92"/>
      <c r="Y389" s="20">
        <f t="shared" si="813"/>
        <v>0</v>
      </c>
      <c r="Z389" s="92"/>
      <c r="AA389" s="238"/>
      <c r="AB389" s="239"/>
      <c r="AC389" s="145"/>
      <c r="AD389" s="146"/>
      <c r="AE389" s="146"/>
      <c r="AF389" s="147"/>
      <c r="AG389" s="147"/>
      <c r="AH389" s="147"/>
      <c r="AI389" s="147"/>
      <c r="AJ389" s="147"/>
      <c r="AK389" s="147"/>
      <c r="AL389" s="147"/>
    </row>
    <row r="390" spans="1:38" ht="15.75" customHeight="1">
      <c r="A390" s="17"/>
      <c r="B390" s="17"/>
      <c r="C390" s="17"/>
      <c r="D390" s="17"/>
      <c r="E390" s="14"/>
      <c r="F390" s="100"/>
      <c r="G390" s="14"/>
      <c r="H390" s="14" t="s">
        <v>57</v>
      </c>
      <c r="I390" s="233"/>
      <c r="J390" s="237" t="s">
        <v>740</v>
      </c>
      <c r="K390" s="152"/>
      <c r="L390" s="88">
        <f>(L392*1000)/$A391</f>
        <v>0</v>
      </c>
      <c r="M390" s="88">
        <f t="shared" ref="M390:W390" si="847">(M392*1000)/$A391</f>
        <v>0</v>
      </c>
      <c r="N390" s="88">
        <f t="shared" si="847"/>
        <v>0</v>
      </c>
      <c r="O390" s="88">
        <f t="shared" ref="O390:P390" si="848">(O392*1000)/$A391</f>
        <v>0</v>
      </c>
      <c r="P390" s="88">
        <f t="shared" si="848"/>
        <v>0</v>
      </c>
      <c r="Q390" s="88">
        <f t="shared" ref="Q390" si="849">(Q392*1000)/$A391</f>
        <v>0</v>
      </c>
      <c r="R390" s="88">
        <f t="shared" si="847"/>
        <v>0</v>
      </c>
      <c r="S390" s="88">
        <f t="shared" si="847"/>
        <v>0</v>
      </c>
      <c r="T390" s="88">
        <f t="shared" si="847"/>
        <v>0</v>
      </c>
      <c r="U390" s="88">
        <f t="shared" si="847"/>
        <v>0</v>
      </c>
      <c r="V390" s="88">
        <f t="shared" si="847"/>
        <v>0</v>
      </c>
      <c r="W390" s="88">
        <f t="shared" si="847"/>
        <v>0</v>
      </c>
      <c r="X390" s="92"/>
      <c r="Y390" s="88">
        <f t="shared" si="813"/>
        <v>0</v>
      </c>
      <c r="Z390" s="92"/>
      <c r="AA390" s="238">
        <f>IFERROR($Y392/$Y$394, 0)</f>
        <v>0</v>
      </c>
      <c r="AB390" s="239">
        <f>IFERROR($Y392/$Y$398, 0)</f>
        <v>0</v>
      </c>
      <c r="AC390" s="145"/>
      <c r="AD390" s="146"/>
      <c r="AE390" s="146"/>
      <c r="AF390" s="147"/>
      <c r="AG390" s="147"/>
      <c r="AH390" s="147"/>
      <c r="AI390" s="147"/>
      <c r="AJ390" s="147"/>
      <c r="AK390" s="147"/>
      <c r="AL390" s="147"/>
    </row>
    <row r="391" spans="1:38" ht="15.75" customHeight="1">
      <c r="A391" s="17">
        <v>100</v>
      </c>
      <c r="B391" s="17"/>
      <c r="C391" s="95"/>
      <c r="D391" s="95"/>
      <c r="E391" s="14" t="s">
        <v>737</v>
      </c>
      <c r="F391" s="99" t="s">
        <v>422</v>
      </c>
      <c r="G391" s="88">
        <v>10000</v>
      </c>
      <c r="H391" s="14" t="s">
        <v>420</v>
      </c>
      <c r="I391" s="233"/>
      <c r="J391" s="237"/>
      <c r="K391" s="152"/>
      <c r="L391" s="89">
        <f>L390/($G391*0.7)</f>
        <v>0</v>
      </c>
      <c r="M391" s="89">
        <f t="shared" ref="M391:W391" si="850">M390/($G391*0.7)</f>
        <v>0</v>
      </c>
      <c r="N391" s="89">
        <f t="shared" si="850"/>
        <v>0</v>
      </c>
      <c r="O391" s="89">
        <f t="shared" ref="O391:P391" si="851">O390/($G391*0.7)</f>
        <v>0</v>
      </c>
      <c r="P391" s="89">
        <f t="shared" si="851"/>
        <v>0</v>
      </c>
      <c r="Q391" s="89">
        <f t="shared" ref="Q391" si="852">Q390/($G391*0.7)</f>
        <v>0</v>
      </c>
      <c r="R391" s="89">
        <f t="shared" si="850"/>
        <v>0</v>
      </c>
      <c r="S391" s="89">
        <f t="shared" si="850"/>
        <v>0</v>
      </c>
      <c r="T391" s="89">
        <f t="shared" si="850"/>
        <v>0</v>
      </c>
      <c r="U391" s="89">
        <f t="shared" si="850"/>
        <v>0</v>
      </c>
      <c r="V391" s="89">
        <f t="shared" si="850"/>
        <v>0</v>
      </c>
      <c r="W391" s="89">
        <f t="shared" si="850"/>
        <v>0</v>
      </c>
      <c r="X391" s="92"/>
      <c r="Y391" s="90">
        <f t="shared" si="813"/>
        <v>0</v>
      </c>
      <c r="Z391" s="92"/>
      <c r="AA391" s="238"/>
      <c r="AB391" s="239"/>
      <c r="AC391" s="145"/>
      <c r="AD391" s="146"/>
      <c r="AE391" s="153"/>
      <c r="AF391" s="153"/>
      <c r="AG391" s="153"/>
      <c r="AH391" s="154"/>
      <c r="AI391" s="155"/>
      <c r="AJ391" s="154"/>
      <c r="AK391" s="147"/>
      <c r="AL391" s="147"/>
    </row>
    <row r="392" spans="1:38" ht="15.75" customHeight="1">
      <c r="F392" s="156"/>
      <c r="G392" s="22"/>
      <c r="H392" s="14" t="s">
        <v>15</v>
      </c>
      <c r="I392" s="233"/>
      <c r="J392" s="237"/>
      <c r="K392" s="152"/>
      <c r="L392" s="19">
        <v>0</v>
      </c>
      <c r="M392" s="19">
        <v>0</v>
      </c>
      <c r="N392" s="19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  <c r="U392" s="19">
        <v>0</v>
      </c>
      <c r="V392" s="19">
        <v>0</v>
      </c>
      <c r="W392" s="19">
        <v>0</v>
      </c>
      <c r="X392" s="92"/>
      <c r="Y392" s="20">
        <f t="shared" si="813"/>
        <v>0</v>
      </c>
      <c r="Z392" s="92"/>
      <c r="AA392" s="238"/>
      <c r="AB392" s="239"/>
      <c r="AC392" s="145"/>
      <c r="AD392" s="146"/>
      <c r="AE392" s="146"/>
      <c r="AF392" s="147"/>
      <c r="AG392" s="147"/>
      <c r="AH392" s="147"/>
      <c r="AI392" s="147"/>
      <c r="AJ392" s="147"/>
      <c r="AK392" s="147"/>
      <c r="AL392" s="147"/>
    </row>
    <row r="393" spans="1:38" ht="15.75" customHeight="1">
      <c r="A393" s="17"/>
      <c r="B393" s="17"/>
      <c r="C393" s="17"/>
      <c r="D393" s="17"/>
      <c r="E393" s="14"/>
      <c r="F393" s="14"/>
      <c r="G393" s="14"/>
      <c r="H393" s="14"/>
      <c r="I393" s="126"/>
      <c r="J393" s="126"/>
      <c r="K393" s="92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92"/>
      <c r="Y393" s="20"/>
      <c r="Z393" s="92"/>
      <c r="AA393" s="23"/>
      <c r="AB393" s="24"/>
      <c r="AC393" s="145"/>
      <c r="AD393" s="146"/>
      <c r="AE393" s="146"/>
      <c r="AF393" s="147"/>
      <c r="AG393" s="147"/>
      <c r="AH393" s="147"/>
      <c r="AI393" s="147"/>
      <c r="AJ393" s="147"/>
      <c r="AK393" s="147"/>
      <c r="AL393" s="147"/>
    </row>
    <row r="394" spans="1:38" ht="15.75" customHeight="1">
      <c r="A394" s="17"/>
      <c r="B394" s="17"/>
      <c r="C394" s="17"/>
      <c r="D394" s="17"/>
      <c r="E394" s="25" t="s">
        <v>123</v>
      </c>
      <c r="F394" s="18"/>
      <c r="G394" s="22"/>
      <c r="H394" s="14" t="s">
        <v>11</v>
      </c>
      <c r="I394" s="126"/>
      <c r="J394" s="126"/>
      <c r="K394" s="92"/>
      <c r="L394" s="26">
        <f t="shared" ref="L394:W394" si="853">SUMIF($H$371:$H$396,"$$$",L$371:L$396)</f>
        <v>0</v>
      </c>
      <c r="M394" s="26">
        <f t="shared" si="853"/>
        <v>0</v>
      </c>
      <c r="N394" s="26">
        <f t="shared" si="853"/>
        <v>0</v>
      </c>
      <c r="O394" s="26">
        <f t="shared" si="853"/>
        <v>0</v>
      </c>
      <c r="P394" s="26">
        <f t="shared" si="853"/>
        <v>0</v>
      </c>
      <c r="Q394" s="26">
        <f t="shared" si="853"/>
        <v>0</v>
      </c>
      <c r="R394" s="26">
        <f t="shared" si="853"/>
        <v>0</v>
      </c>
      <c r="S394" s="26">
        <f t="shared" si="853"/>
        <v>0</v>
      </c>
      <c r="T394" s="26">
        <f t="shared" si="853"/>
        <v>0</v>
      </c>
      <c r="U394" s="26">
        <f t="shared" si="853"/>
        <v>0</v>
      </c>
      <c r="V394" s="26">
        <f t="shared" si="853"/>
        <v>0</v>
      </c>
      <c r="W394" s="26">
        <f t="shared" si="853"/>
        <v>0</v>
      </c>
      <c r="X394" s="92"/>
      <c r="Y394" s="26">
        <f>SUM(L394:W394)</f>
        <v>0</v>
      </c>
      <c r="Z394" s="92"/>
      <c r="AA394" s="28">
        <f>IFERROR($Y394/$Y$359, 0)</f>
        <v>0</v>
      </c>
      <c r="AB394" s="29">
        <f>IFERROR($Y394/$Y$398, 0)</f>
        <v>0</v>
      </c>
      <c r="AC394" s="145"/>
      <c r="AD394" s="146"/>
      <c r="AE394" s="146"/>
      <c r="AF394" s="147"/>
      <c r="AG394" s="147"/>
      <c r="AH394" s="147"/>
      <c r="AI394" s="147"/>
      <c r="AJ394" s="147"/>
      <c r="AK394" s="147"/>
      <c r="AL394" s="147"/>
    </row>
    <row r="395" spans="1:38" ht="15.75" customHeight="1" thickBot="1">
      <c r="A395" s="135"/>
      <c r="B395" s="135"/>
      <c r="C395" s="135"/>
      <c r="D395" s="135"/>
      <c r="E395" s="136" t="s">
        <v>124</v>
      </c>
      <c r="F395" s="137"/>
      <c r="G395" s="138"/>
      <c r="H395" s="139" t="s">
        <v>417</v>
      </c>
      <c r="I395" s="140"/>
      <c r="J395" s="140"/>
      <c r="K395" s="141"/>
      <c r="L395" s="142">
        <f t="shared" ref="L395:W395" si="854">L394*(1-(0.15-$H$3))</f>
        <v>0</v>
      </c>
      <c r="M395" s="142">
        <f t="shared" si="854"/>
        <v>0</v>
      </c>
      <c r="N395" s="142">
        <f t="shared" si="854"/>
        <v>0</v>
      </c>
      <c r="O395" s="142">
        <f t="shared" ref="O395:P395" si="855">O394*(1-(0.15-$H$3))</f>
        <v>0</v>
      </c>
      <c r="P395" s="142">
        <f t="shared" si="855"/>
        <v>0</v>
      </c>
      <c r="Q395" s="142">
        <f t="shared" ref="Q395" si="856">Q394*(1-(0.15-$H$3))</f>
        <v>0</v>
      </c>
      <c r="R395" s="142">
        <f t="shared" si="854"/>
        <v>0</v>
      </c>
      <c r="S395" s="142">
        <f t="shared" si="854"/>
        <v>0</v>
      </c>
      <c r="T395" s="142">
        <f t="shared" si="854"/>
        <v>0</v>
      </c>
      <c r="U395" s="142">
        <f t="shared" si="854"/>
        <v>0</v>
      </c>
      <c r="V395" s="142">
        <f t="shared" si="854"/>
        <v>0</v>
      </c>
      <c r="W395" s="142">
        <f t="shared" si="854"/>
        <v>0</v>
      </c>
      <c r="X395" s="141"/>
      <c r="Y395" s="142">
        <f>SUM(L395:W395)</f>
        <v>0</v>
      </c>
      <c r="Z395" s="141"/>
      <c r="AA395" s="143"/>
      <c r="AB395" s="144"/>
      <c r="AC395" s="145"/>
      <c r="AD395" s="146"/>
      <c r="AE395" s="146"/>
      <c r="AF395" s="147"/>
      <c r="AG395" s="147"/>
      <c r="AH395" s="147"/>
      <c r="AI395" s="147"/>
      <c r="AJ395" s="147"/>
      <c r="AK395" s="147"/>
      <c r="AL395" s="147"/>
    </row>
    <row r="396" spans="1:38" ht="21.15" customHeight="1" thickTop="1" thickBot="1">
      <c r="A396" s="56"/>
      <c r="B396" s="57"/>
      <c r="C396" s="57"/>
      <c r="D396" s="57"/>
      <c r="E396" s="58"/>
      <c r="F396" s="59"/>
      <c r="G396" s="60"/>
      <c r="H396" s="58"/>
      <c r="I396" s="58"/>
      <c r="J396" s="58"/>
      <c r="K396" s="58"/>
      <c r="L396" s="9" t="str">
        <f t="shared" ref="L396:W396" si="857">CONCATENATE("Week ",L$2)</f>
        <v>Week 12</v>
      </c>
      <c r="M396" s="9" t="str">
        <f t="shared" si="857"/>
        <v>Week 11</v>
      </c>
      <c r="N396" s="9" t="str">
        <f t="shared" si="857"/>
        <v>Week 10</v>
      </c>
      <c r="O396" s="9" t="str">
        <f t="shared" si="857"/>
        <v>Week 9</v>
      </c>
      <c r="P396" s="9" t="str">
        <f t="shared" si="857"/>
        <v>Week 8</v>
      </c>
      <c r="Q396" s="9" t="str">
        <f t="shared" si="857"/>
        <v>Week 7</v>
      </c>
      <c r="R396" s="9" t="str">
        <f t="shared" si="857"/>
        <v>Week 6</v>
      </c>
      <c r="S396" s="9" t="str">
        <f t="shared" si="857"/>
        <v>Week 5</v>
      </c>
      <c r="T396" s="9" t="str">
        <f t="shared" si="857"/>
        <v>Week 4</v>
      </c>
      <c r="U396" s="9" t="str">
        <f t="shared" si="857"/>
        <v>Week 3</v>
      </c>
      <c r="V396" s="9" t="str">
        <f t="shared" si="857"/>
        <v>Week 2</v>
      </c>
      <c r="W396" s="9" t="str">
        <f t="shared" si="857"/>
        <v>Week 1</v>
      </c>
      <c r="X396" s="58"/>
      <c r="Y396" s="61" t="s">
        <v>11</v>
      </c>
      <c r="Z396" s="58"/>
      <c r="AA396" s="9"/>
      <c r="AB396" s="62"/>
      <c r="AC396" s="123"/>
      <c r="AD396" s="7"/>
      <c r="AE396" s="7"/>
      <c r="AF396" s="8"/>
      <c r="AG396" s="8"/>
      <c r="AH396" s="8"/>
      <c r="AI396" s="8"/>
      <c r="AJ396" s="8"/>
      <c r="AK396" s="8"/>
      <c r="AL396" s="8"/>
    </row>
    <row r="397" spans="1:38" ht="15.75" customHeight="1" thickTop="1">
      <c r="A397" s="177"/>
      <c r="B397" s="177"/>
      <c r="C397" s="177"/>
      <c r="D397" s="177"/>
      <c r="E397" s="4"/>
      <c r="F397" s="66"/>
      <c r="G397" s="178"/>
      <c r="H397" s="4"/>
      <c r="I397" s="4"/>
      <c r="J397" s="4"/>
      <c r="K397" s="179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79"/>
      <c r="Y397" s="180"/>
      <c r="Z397" s="179"/>
      <c r="AA397" s="23"/>
      <c r="AB397" s="16"/>
      <c r="AC397" s="181"/>
      <c r="AD397" s="3"/>
      <c r="AE397" s="3"/>
      <c r="AF397" s="1"/>
      <c r="AG397" s="1"/>
      <c r="AH397" s="1"/>
      <c r="AI397" s="1"/>
      <c r="AJ397" s="1"/>
      <c r="AK397" s="1"/>
      <c r="AL397" s="1"/>
    </row>
    <row r="398" spans="1:38" ht="17.399999999999999" customHeight="1">
      <c r="A398" s="182"/>
      <c r="B398" s="182"/>
      <c r="C398" s="182"/>
      <c r="D398" s="182"/>
      <c r="E398" s="104" t="s">
        <v>99</v>
      </c>
      <c r="F398" s="183"/>
      <c r="G398" s="183"/>
      <c r="H398" s="182"/>
      <c r="I398" s="182"/>
      <c r="J398" s="182"/>
      <c r="K398" s="179"/>
      <c r="L398" s="184">
        <f t="shared" ref="L398:W398" si="858">SUMIF($H:$H,"TOTAL",L:L)</f>
        <v>0</v>
      </c>
      <c r="M398" s="184">
        <f t="shared" si="858"/>
        <v>0</v>
      </c>
      <c r="N398" s="184">
        <f t="shared" si="858"/>
        <v>0</v>
      </c>
      <c r="O398" s="184">
        <f t="shared" si="858"/>
        <v>0</v>
      </c>
      <c r="P398" s="184">
        <f t="shared" si="858"/>
        <v>0</v>
      </c>
      <c r="Q398" s="184">
        <f t="shared" si="858"/>
        <v>0</v>
      </c>
      <c r="R398" s="184">
        <f t="shared" si="858"/>
        <v>0</v>
      </c>
      <c r="S398" s="184">
        <f t="shared" si="858"/>
        <v>0</v>
      </c>
      <c r="T398" s="184">
        <f t="shared" si="858"/>
        <v>0</v>
      </c>
      <c r="U398" s="184">
        <f t="shared" si="858"/>
        <v>0</v>
      </c>
      <c r="V398" s="184">
        <f t="shared" si="858"/>
        <v>0</v>
      </c>
      <c r="W398" s="184">
        <f t="shared" si="858"/>
        <v>0</v>
      </c>
      <c r="X398" s="179"/>
      <c r="Y398" s="184">
        <f>SUM(L398:W398)</f>
        <v>0</v>
      </c>
      <c r="Z398" s="179"/>
      <c r="AA398" s="185"/>
      <c r="AB398" s="185"/>
      <c r="AC398" s="185"/>
      <c r="AD398" s="186"/>
      <c r="AE398" s="186"/>
      <c r="AF398" s="187"/>
      <c r="AG398" s="187"/>
      <c r="AH398" s="187"/>
      <c r="AI398" s="187"/>
      <c r="AJ398" s="187"/>
      <c r="AK398" s="187"/>
      <c r="AL398" s="187"/>
    </row>
    <row r="399" spans="1:38" ht="17.399999999999999" customHeight="1">
      <c r="A399" s="188"/>
      <c r="B399" s="188"/>
      <c r="C399" s="188"/>
      <c r="D399" s="188"/>
      <c r="E399" s="105" t="s">
        <v>100</v>
      </c>
      <c r="F399" s="167"/>
      <c r="G399" s="168"/>
      <c r="H399" s="110"/>
      <c r="I399" s="110"/>
      <c r="J399" s="110"/>
      <c r="K399" s="169"/>
      <c r="L399" s="142">
        <f t="shared" ref="L399:W399" si="859">L398*(1-(0.15-$H$3))</f>
        <v>0</v>
      </c>
      <c r="M399" s="142">
        <f t="shared" si="859"/>
        <v>0</v>
      </c>
      <c r="N399" s="142">
        <f t="shared" si="859"/>
        <v>0</v>
      </c>
      <c r="O399" s="142">
        <f t="shared" ref="O399:P399" si="860">O398*(1-(0.15-$H$3))</f>
        <v>0</v>
      </c>
      <c r="P399" s="142">
        <f t="shared" si="860"/>
        <v>0</v>
      </c>
      <c r="Q399" s="142">
        <f t="shared" ref="Q399" si="861">Q398*(1-(0.15-$H$3))</f>
        <v>0</v>
      </c>
      <c r="R399" s="142">
        <f t="shared" si="859"/>
        <v>0</v>
      </c>
      <c r="S399" s="142">
        <f t="shared" si="859"/>
        <v>0</v>
      </c>
      <c r="T399" s="142">
        <f t="shared" si="859"/>
        <v>0</v>
      </c>
      <c r="U399" s="142">
        <f t="shared" si="859"/>
        <v>0</v>
      </c>
      <c r="V399" s="142">
        <f t="shared" si="859"/>
        <v>0</v>
      </c>
      <c r="W399" s="142">
        <f t="shared" si="859"/>
        <v>0</v>
      </c>
      <c r="X399" s="169"/>
      <c r="Y399" s="142">
        <f>SUM(L399:W399)</f>
        <v>0</v>
      </c>
      <c r="Z399" s="169"/>
      <c r="AA399" s="164"/>
      <c r="AB399" s="164"/>
      <c r="AC399" s="164"/>
      <c r="AD399" s="146"/>
      <c r="AE399" s="146"/>
      <c r="AF399" s="147"/>
      <c r="AG399" s="147"/>
      <c r="AH399" s="147"/>
      <c r="AI399" s="147"/>
      <c r="AJ399" s="147"/>
      <c r="AK399" s="147"/>
      <c r="AL399" s="147"/>
    </row>
    <row r="400" spans="1:38" ht="17.399999999999999" customHeight="1">
      <c r="A400" s="177"/>
      <c r="B400" s="177"/>
      <c r="C400" s="177"/>
      <c r="D400" s="177"/>
      <c r="E400" s="103" t="s">
        <v>101</v>
      </c>
      <c r="F400" s="189"/>
      <c r="G400" s="190"/>
      <c r="H400" s="103"/>
      <c r="I400" s="103"/>
      <c r="J400" s="103"/>
      <c r="K400" s="191"/>
      <c r="L400" s="192">
        <v>0</v>
      </c>
      <c r="M400" s="192">
        <v>0</v>
      </c>
      <c r="N400" s="192">
        <v>0</v>
      </c>
      <c r="O400" s="192">
        <v>0</v>
      </c>
      <c r="P400" s="192">
        <v>0</v>
      </c>
      <c r="Q400" s="192">
        <v>0</v>
      </c>
      <c r="R400" s="192">
        <v>0</v>
      </c>
      <c r="S400" s="192">
        <v>0</v>
      </c>
      <c r="T400" s="192">
        <v>0</v>
      </c>
      <c r="U400" s="192">
        <v>0</v>
      </c>
      <c r="V400" s="192">
        <v>0</v>
      </c>
      <c r="W400" s="192">
        <v>0</v>
      </c>
      <c r="X400" s="191"/>
      <c r="Y400" s="192">
        <f>SUM(L400:W400)</f>
        <v>0</v>
      </c>
      <c r="Z400" s="191"/>
      <c r="AA400" s="23"/>
      <c r="AB400" s="16"/>
      <c r="AC400" s="181"/>
      <c r="AD400" s="3"/>
      <c r="AI400" s="1"/>
      <c r="AJ400" s="1"/>
      <c r="AK400" s="1"/>
      <c r="AL400" s="1"/>
    </row>
    <row r="401" spans="1:38" ht="17.399999999999999" customHeight="1">
      <c r="A401" s="177"/>
      <c r="B401" s="177"/>
      <c r="C401" s="177"/>
      <c r="D401" s="177"/>
      <c r="E401" s="4"/>
      <c r="F401" s="66"/>
      <c r="G401" s="178"/>
      <c r="H401" s="4"/>
      <c r="I401" s="4"/>
      <c r="J401" s="4"/>
      <c r="K401" s="129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29"/>
      <c r="Y401" s="180"/>
      <c r="Z401" s="129"/>
      <c r="AA401" s="23"/>
      <c r="AB401" s="16"/>
      <c r="AC401" s="181"/>
      <c r="AD401" s="3"/>
      <c r="AE401" s="3"/>
      <c r="AF401" s="1"/>
      <c r="AG401" s="1"/>
      <c r="AH401" s="1"/>
      <c r="AI401" s="1"/>
      <c r="AJ401" s="1"/>
      <c r="AK401" s="1"/>
      <c r="AL401" s="1"/>
    </row>
    <row r="402" spans="1:38" ht="17.399999999999999" customHeight="1">
      <c r="A402" s="182"/>
      <c r="B402" s="182"/>
      <c r="C402" s="182"/>
      <c r="D402" s="182"/>
      <c r="E402" s="104" t="s">
        <v>102</v>
      </c>
      <c r="F402" s="183"/>
      <c r="G402" s="183"/>
      <c r="H402" s="182"/>
      <c r="I402" s="182"/>
      <c r="J402" s="182"/>
      <c r="K402" s="179"/>
      <c r="L402" s="193">
        <f t="shared" ref="L402:W402" si="862">SUM(L399:L400)</f>
        <v>0</v>
      </c>
      <c r="M402" s="193">
        <f t="shared" si="862"/>
        <v>0</v>
      </c>
      <c r="N402" s="193">
        <f t="shared" si="862"/>
        <v>0</v>
      </c>
      <c r="O402" s="193">
        <f t="shared" si="862"/>
        <v>0</v>
      </c>
      <c r="P402" s="193">
        <f t="shared" si="862"/>
        <v>0</v>
      </c>
      <c r="Q402" s="193">
        <f t="shared" si="862"/>
        <v>0</v>
      </c>
      <c r="R402" s="193">
        <f t="shared" si="862"/>
        <v>0</v>
      </c>
      <c r="S402" s="193">
        <f t="shared" si="862"/>
        <v>0</v>
      </c>
      <c r="T402" s="193">
        <f t="shared" si="862"/>
        <v>0</v>
      </c>
      <c r="U402" s="193">
        <f t="shared" si="862"/>
        <v>0</v>
      </c>
      <c r="V402" s="193">
        <f t="shared" si="862"/>
        <v>0</v>
      </c>
      <c r="W402" s="193">
        <f t="shared" si="862"/>
        <v>0</v>
      </c>
      <c r="X402" s="179"/>
      <c r="Y402" s="193">
        <f>SUM(L402:W402)</f>
        <v>0</v>
      </c>
      <c r="Z402" s="179"/>
      <c r="AA402" s="185"/>
      <c r="AB402" s="185"/>
      <c r="AC402" s="185"/>
      <c r="AD402" s="186"/>
      <c r="AE402" s="186"/>
      <c r="AF402" s="187"/>
      <c r="AG402" s="187"/>
      <c r="AH402" s="187"/>
      <c r="AI402" s="187"/>
      <c r="AJ402" s="187"/>
      <c r="AK402" s="187"/>
      <c r="AL402" s="187"/>
    </row>
    <row r="403" spans="1:38" ht="17.399999999999999" customHeight="1">
      <c r="A403" s="182"/>
      <c r="B403" s="182"/>
      <c r="C403" s="182"/>
      <c r="D403" s="182"/>
      <c r="E403" s="104"/>
      <c r="F403" s="183"/>
      <c r="G403" s="183"/>
      <c r="H403" s="182"/>
      <c r="I403" s="182"/>
      <c r="J403" s="182"/>
      <c r="K403" s="179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79"/>
      <c r="Y403" s="193"/>
      <c r="Z403" s="179"/>
      <c r="AA403" s="185"/>
      <c r="AB403" s="185"/>
      <c r="AC403" s="185"/>
      <c r="AD403" s="186"/>
      <c r="AE403" s="186"/>
      <c r="AF403" s="187"/>
      <c r="AG403" s="187"/>
      <c r="AH403" s="187"/>
      <c r="AI403" s="187"/>
      <c r="AJ403" s="187"/>
      <c r="AK403" s="187"/>
      <c r="AL403" s="187"/>
    </row>
    <row r="404" spans="1:38" ht="17.399999999999999" customHeight="1">
      <c r="A404" s="182"/>
      <c r="B404" s="182"/>
      <c r="C404" s="182"/>
      <c r="D404" s="182"/>
      <c r="E404" s="107" t="s">
        <v>103</v>
      </c>
      <c r="F404" s="183"/>
      <c r="G404" s="183"/>
      <c r="H404" s="182"/>
      <c r="I404" s="182"/>
      <c r="J404" s="182"/>
      <c r="K404" s="179"/>
      <c r="L404" s="194">
        <v>0</v>
      </c>
      <c r="M404" s="194">
        <v>0</v>
      </c>
      <c r="N404" s="194">
        <v>0</v>
      </c>
      <c r="O404" s="194">
        <v>0</v>
      </c>
      <c r="P404" s="194">
        <v>0</v>
      </c>
      <c r="Q404" s="194">
        <v>0</v>
      </c>
      <c r="R404" s="194">
        <v>0</v>
      </c>
      <c r="S404" s="194">
        <v>0</v>
      </c>
      <c r="T404" s="194">
        <v>0</v>
      </c>
      <c r="U404" s="194">
        <v>0</v>
      </c>
      <c r="V404" s="194">
        <v>0</v>
      </c>
      <c r="W404" s="194">
        <v>0</v>
      </c>
      <c r="X404" s="179"/>
      <c r="Y404" s="193"/>
      <c r="Z404" s="179"/>
      <c r="AA404" s="185"/>
      <c r="AB404" s="185"/>
      <c r="AC404" s="185"/>
      <c r="AD404" s="186"/>
      <c r="AE404" s="186"/>
      <c r="AF404" s="187"/>
      <c r="AG404" s="187"/>
      <c r="AH404" s="187"/>
      <c r="AI404" s="187"/>
      <c r="AJ404" s="187"/>
      <c r="AK404" s="187"/>
      <c r="AL404" s="187"/>
    </row>
    <row r="405" spans="1:38" ht="15.75" customHeight="1" thickBo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9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93"/>
      <c r="Y405" s="63"/>
      <c r="Z405" s="93"/>
      <c r="AA405" s="3"/>
      <c r="AB405" s="3"/>
      <c r="AC405" s="3"/>
      <c r="AD405" s="3"/>
      <c r="AE405" s="3"/>
      <c r="AF405" s="1"/>
      <c r="AG405" s="1"/>
      <c r="AH405" s="1"/>
      <c r="AI405" s="1"/>
      <c r="AJ405" s="1"/>
      <c r="AK405" s="1"/>
      <c r="AL405" s="1"/>
    </row>
    <row r="406" spans="1:38" ht="15.75" customHeight="1" thickTop="1">
      <c r="A406" s="120"/>
      <c r="B406" s="120"/>
      <c r="C406" s="120"/>
      <c r="D406" s="120"/>
      <c r="E406" s="195"/>
      <c r="F406" s="196"/>
      <c r="G406" s="196"/>
      <c r="H406" s="197"/>
      <c r="I406" s="197"/>
      <c r="J406" s="197"/>
      <c r="K406" s="198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9"/>
      <c r="Z406" s="197"/>
      <c r="AA406" s="200"/>
      <c r="AB406" s="200"/>
      <c r="AC406" s="200"/>
      <c r="AD406" s="3"/>
      <c r="AE406" s="3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20"/>
      <c r="B407" s="120"/>
      <c r="C407" s="120"/>
      <c r="D407" s="120"/>
      <c r="E407" s="195" t="s">
        <v>729</v>
      </c>
      <c r="F407" s="196"/>
      <c r="G407" s="196"/>
      <c r="H407" s="197"/>
      <c r="I407" s="197"/>
      <c r="J407" s="197"/>
      <c r="K407" s="197"/>
      <c r="L407" s="201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9"/>
      <c r="Z407" s="197"/>
      <c r="AA407" s="200"/>
      <c r="AB407" s="200"/>
      <c r="AC407" s="200"/>
      <c r="AD407" s="3"/>
      <c r="AE407" s="3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20"/>
      <c r="B408" s="120"/>
      <c r="C408" s="120"/>
      <c r="D408" s="120"/>
      <c r="E408" s="202" t="s">
        <v>104</v>
      </c>
      <c r="F408" s="203"/>
      <c r="G408" s="203"/>
      <c r="H408" s="120"/>
      <c r="I408" s="120"/>
      <c r="J408" s="120"/>
      <c r="K408" s="120"/>
      <c r="L408" s="120"/>
      <c r="M408" s="204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205"/>
      <c r="Z408" s="120"/>
      <c r="AA408" s="121"/>
      <c r="AB408" s="121"/>
      <c r="AC408" s="121"/>
      <c r="AD408" s="3"/>
      <c r="AE408" s="3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20"/>
      <c r="B409" s="120"/>
      <c r="C409" s="120"/>
      <c r="D409" s="120"/>
      <c r="E409" s="203"/>
      <c r="F409" s="203"/>
      <c r="G409" s="203"/>
      <c r="H409" s="120"/>
      <c r="I409" s="120"/>
      <c r="J409" s="120"/>
      <c r="K409" s="120"/>
      <c r="L409" s="199" t="s">
        <v>105</v>
      </c>
      <c r="M409" s="120"/>
      <c r="N409" s="120"/>
      <c r="O409" s="199" t="s">
        <v>105</v>
      </c>
      <c r="P409" s="199" t="s">
        <v>105</v>
      </c>
      <c r="Q409" s="199" t="s">
        <v>105</v>
      </c>
      <c r="R409" s="199" t="s">
        <v>105</v>
      </c>
      <c r="S409" s="199" t="s">
        <v>105</v>
      </c>
      <c r="T409" s="120"/>
      <c r="U409" s="199" t="s">
        <v>105</v>
      </c>
      <c r="V409" s="199" t="s">
        <v>105</v>
      </c>
      <c r="W409" s="120"/>
      <c r="X409" s="120"/>
      <c r="Y409" s="120"/>
      <c r="Z409" s="120"/>
      <c r="AA409" s="121"/>
      <c r="AB409" s="121"/>
      <c r="AC409" s="121"/>
      <c r="AD409" s="3"/>
      <c r="AE409" s="3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"/>
      <c r="AB410" s="3"/>
      <c r="AC410" s="3"/>
      <c r="AD410" s="3"/>
      <c r="AE410" s="3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3"/>
      <c r="T411" s="1"/>
      <c r="U411" s="1"/>
      <c r="V411" s="3"/>
      <c r="W411" s="1"/>
      <c r="X411" s="1"/>
      <c r="Y411" s="1"/>
      <c r="Z411" s="1"/>
      <c r="AA411" s="3"/>
      <c r="AB411" s="3"/>
      <c r="AC411" s="3"/>
      <c r="AD411" s="3"/>
      <c r="AE411" s="3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6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"/>
      <c r="AB412" s="3"/>
      <c r="AC412" s="3"/>
      <c r="AD412" s="3"/>
      <c r="AE412" s="3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6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3"/>
      <c r="T413" s="1"/>
      <c r="U413" s="1"/>
      <c r="V413" s="3"/>
      <c r="W413" s="1"/>
      <c r="X413" s="1"/>
      <c r="Y413" s="1"/>
      <c r="Z413" s="1"/>
      <c r="AA413" s="3"/>
      <c r="AB413" s="3"/>
      <c r="AC413" s="3"/>
      <c r="AD413" s="3"/>
      <c r="AE413" s="3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6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"/>
      <c r="AB414" s="3"/>
      <c r="AC414" s="3"/>
      <c r="AD414" s="3"/>
      <c r="AE414" s="3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6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"/>
      <c r="AB415" s="3"/>
      <c r="AC415" s="3"/>
      <c r="AD415" s="3"/>
      <c r="AE415" s="3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06"/>
      <c r="T416" s="1"/>
      <c r="U416" s="1"/>
      <c r="V416" s="206"/>
      <c r="W416" s="1"/>
      <c r="X416" s="1"/>
      <c r="Y416" s="1"/>
      <c r="Z416" s="1"/>
      <c r="AA416" s="3"/>
      <c r="AB416" s="3"/>
      <c r="AC416" s="3"/>
      <c r="AD416" s="3"/>
      <c r="AE416" s="3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3"/>
      <c r="T417" s="1"/>
      <c r="U417" s="1"/>
      <c r="V417" s="3"/>
      <c r="W417" s="1"/>
      <c r="X417" s="1"/>
      <c r="Y417" s="1"/>
      <c r="Z417" s="1"/>
      <c r="AA417" s="3"/>
      <c r="AB417" s="3"/>
      <c r="AC417" s="3"/>
      <c r="AD417" s="3"/>
      <c r="AE417" s="3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3"/>
      <c r="T418" s="1"/>
      <c r="U418" s="1"/>
      <c r="V418" s="3"/>
      <c r="W418" s="1"/>
      <c r="X418" s="1"/>
      <c r="Y418" s="1"/>
      <c r="Z418" s="1"/>
      <c r="AA418" s="3"/>
      <c r="AB418" s="3"/>
      <c r="AC418" s="3"/>
      <c r="AD418" s="3"/>
      <c r="AE418" s="3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07"/>
      <c r="M419" s="1"/>
      <c r="N419" s="1"/>
      <c r="O419" s="207"/>
      <c r="P419" s="207"/>
      <c r="Q419" s="207"/>
      <c r="R419" s="207"/>
      <c r="S419" s="3"/>
      <c r="T419" s="1"/>
      <c r="U419" s="207"/>
      <c r="V419" s="3"/>
      <c r="W419" s="1"/>
      <c r="X419" s="1"/>
      <c r="Y419" s="1"/>
      <c r="Z419" s="1"/>
      <c r="AA419" s="3"/>
      <c r="AB419" s="3"/>
      <c r="AC419" s="3"/>
      <c r="AD419" s="3"/>
      <c r="AE419" s="3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3"/>
      <c r="T420" s="1"/>
      <c r="U420" s="1"/>
      <c r="V420" s="3"/>
      <c r="W420" s="1"/>
      <c r="X420" s="1"/>
      <c r="Y420" s="1"/>
      <c r="Z420" s="1"/>
      <c r="AA420" s="3"/>
      <c r="AB420" s="3"/>
      <c r="AC420" s="3"/>
      <c r="AD420" s="3"/>
      <c r="AE420" s="3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07"/>
      <c r="M421" s="1"/>
      <c r="N421" s="1"/>
      <c r="O421" s="207"/>
      <c r="P421" s="207"/>
      <c r="Q421" s="207"/>
      <c r="R421" s="207"/>
      <c r="S421" s="3"/>
      <c r="T421" s="1"/>
      <c r="U421" s="207"/>
      <c r="V421" s="3"/>
      <c r="W421" s="1"/>
      <c r="X421" s="1"/>
      <c r="Y421" s="1"/>
      <c r="Z421" s="1"/>
      <c r="AA421" s="3"/>
      <c r="AB421" s="3"/>
      <c r="AC421" s="3"/>
      <c r="AD421" s="3"/>
      <c r="AE421" s="3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</row>
    <row r="423" spans="1:38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</row>
    <row r="424" spans="1:38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</row>
    <row r="425" spans="1:38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</row>
    <row r="426" spans="1:38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</row>
    <row r="427" spans="1:38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</row>
    <row r="428" spans="1:3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</row>
    <row r="429" spans="1:38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</row>
    <row r="430" spans="1:38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</row>
    <row r="431" spans="1:38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</row>
    <row r="432" spans="1:38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</row>
    <row r="433" spans="1:38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</row>
    <row r="434" spans="1:38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</row>
    <row r="435" spans="1:38" ht="15.75" customHeight="1">
      <c r="A435" s="110"/>
      <c r="B435" s="208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</row>
    <row r="436" spans="1:38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</row>
    <row r="437" spans="1:38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</row>
    <row r="438" spans="1: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</row>
    <row r="439" spans="1:38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</row>
    <row r="440" spans="1:38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</row>
    <row r="441" spans="1:38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</row>
    <row r="442" spans="1:38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</row>
    <row r="443" spans="1:38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</row>
    <row r="444" spans="1:38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</row>
    <row r="445" spans="1:38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</row>
    <row r="446" spans="1:38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</row>
    <row r="447" spans="1:38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</row>
    <row r="448" spans="1:3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</row>
    <row r="449" spans="1:38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</row>
    <row r="450" spans="1:38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</row>
    <row r="451" spans="1:38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</row>
    <row r="452" spans="1:38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</row>
    <row r="453" spans="1:38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</row>
    <row r="454" spans="1:38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</row>
    <row r="455" spans="1:38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</row>
    <row r="456" spans="1:38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</row>
    <row r="457" spans="1:38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</row>
    <row r="458" spans="1:3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</row>
    <row r="459" spans="1:38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</row>
    <row r="460" spans="1:38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</row>
    <row r="461" spans="1:38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</row>
    <row r="462" spans="1:38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</row>
    <row r="463" spans="1:38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</row>
    <row r="464" spans="1:38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</row>
    <row r="465" spans="1:38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</row>
    <row r="466" spans="1:38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</row>
    <row r="467" spans="1:38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</row>
    <row r="468" spans="1:3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</row>
    <row r="469" spans="1:38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</row>
    <row r="470" spans="1:38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</row>
    <row r="471" spans="1:38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</row>
    <row r="472" spans="1:38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</row>
    <row r="473" spans="1:38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</row>
    <row r="474" spans="1:38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</row>
    <row r="475" spans="1:38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</row>
    <row r="476" spans="1:38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</row>
    <row r="477" spans="1:38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</row>
    <row r="478" spans="1:3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</row>
    <row r="479" spans="1:38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</row>
    <row r="480" spans="1:38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</row>
    <row r="481" spans="1:38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</row>
    <row r="482" spans="1:38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</row>
    <row r="483" spans="1:38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</row>
    <row r="484" spans="1:38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</row>
    <row r="485" spans="1:38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</row>
    <row r="486" spans="1:38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</row>
    <row r="487" spans="1:38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</row>
    <row r="488" spans="1:3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</row>
    <row r="489" spans="1:38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</row>
    <row r="490" spans="1:38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</row>
    <row r="491" spans="1:38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</row>
    <row r="492" spans="1:38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</row>
    <row r="493" spans="1:38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</row>
    <row r="494" spans="1:38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</row>
    <row r="495" spans="1:38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</row>
    <row r="496" spans="1:38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</row>
    <row r="497" spans="1:38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</row>
    <row r="498" spans="1:3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</row>
    <row r="499" spans="1:38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</row>
    <row r="500" spans="1:38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</row>
    <row r="501" spans="1:38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</row>
    <row r="502" spans="1:38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</row>
    <row r="503" spans="1:38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</row>
    <row r="504" spans="1:38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</row>
    <row r="505" spans="1:38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</row>
    <row r="506" spans="1:38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</row>
    <row r="507" spans="1:38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</row>
    <row r="508" spans="1:3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</row>
    <row r="509" spans="1:38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</row>
    <row r="510" spans="1:38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</row>
    <row r="511" spans="1:38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</row>
    <row r="512" spans="1:38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</row>
    <row r="513" spans="1:38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</row>
    <row r="514" spans="1:38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</row>
    <row r="515" spans="1:38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</row>
    <row r="516" spans="1:38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</row>
    <row r="517" spans="1:38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</row>
    <row r="518" spans="1:3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</row>
    <row r="519" spans="1:38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</row>
    <row r="520" spans="1:38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</row>
    <row r="521" spans="1:38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</row>
    <row r="522" spans="1:38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</row>
    <row r="523" spans="1:38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</row>
    <row r="524" spans="1:38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</row>
    <row r="525" spans="1:38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</row>
    <row r="526" spans="1:38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</row>
    <row r="527" spans="1:38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</row>
    <row r="528" spans="1:3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</row>
    <row r="529" spans="1:38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</row>
    <row r="530" spans="1:38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</row>
    <row r="531" spans="1:38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</row>
    <row r="532" spans="1:38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</row>
    <row r="533" spans="1:38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</row>
    <row r="534" spans="1:38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</row>
    <row r="535" spans="1:38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</row>
    <row r="536" spans="1:38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</row>
    <row r="537" spans="1:38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</row>
    <row r="538" spans="1: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</row>
    <row r="539" spans="1:38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</row>
    <row r="540" spans="1:38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</row>
    <row r="541" spans="1:38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</row>
    <row r="542" spans="1:38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</row>
    <row r="543" spans="1:38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</row>
    <row r="544" spans="1:38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</row>
    <row r="545" spans="1:38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</row>
    <row r="546" spans="1:38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</row>
    <row r="547" spans="1:38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</row>
    <row r="548" spans="1:3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</row>
    <row r="549" spans="1:38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</row>
    <row r="550" spans="1:38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</row>
    <row r="551" spans="1:38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</row>
    <row r="552" spans="1:38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</row>
    <row r="553" spans="1:38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</row>
    <row r="554" spans="1:38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</row>
    <row r="555" spans="1:38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</row>
    <row r="556" spans="1:38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</row>
    <row r="557" spans="1:38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</row>
    <row r="558" spans="1:3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</row>
    <row r="559" spans="1:38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</row>
    <row r="560" spans="1:38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</row>
    <row r="561" spans="1:38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</row>
    <row r="562" spans="1:38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</row>
    <row r="563" spans="1:38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</row>
    <row r="564" spans="1:38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</row>
    <row r="565" spans="1:38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</row>
    <row r="566" spans="1:38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</row>
    <row r="567" spans="1:38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</row>
    <row r="568" spans="1:3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</row>
    <row r="569" spans="1:38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</row>
    <row r="570" spans="1:38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</row>
    <row r="571" spans="1:38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</row>
    <row r="572" spans="1:38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</row>
    <row r="573" spans="1:38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</row>
    <row r="574" spans="1:38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</row>
    <row r="575" spans="1:38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</row>
    <row r="576" spans="1:38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</row>
    <row r="577" spans="1:38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</row>
    <row r="578" spans="1:3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</row>
    <row r="579" spans="1:38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</row>
    <row r="580" spans="1:38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</row>
    <row r="581" spans="1:38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</row>
    <row r="582" spans="1:38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</row>
    <row r="583" spans="1:38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</row>
    <row r="584" spans="1:38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</row>
    <row r="585" spans="1:38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</row>
    <row r="586" spans="1:38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</row>
    <row r="587" spans="1:38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</row>
    <row r="588" spans="1:3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</row>
    <row r="589" spans="1:38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</row>
    <row r="590" spans="1:38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</row>
    <row r="591" spans="1:38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</row>
    <row r="592" spans="1:38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</row>
    <row r="593" spans="1:38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</row>
    <row r="594" spans="1:38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</row>
    <row r="595" spans="1:38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</row>
    <row r="596" spans="1:38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</row>
    <row r="597" spans="1:38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</row>
    <row r="598" spans="1:3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</row>
    <row r="599" spans="1:38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</row>
    <row r="600" spans="1:38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</row>
    <row r="601" spans="1:38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</row>
    <row r="602" spans="1:38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</row>
    <row r="603" spans="1:38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</row>
    <row r="604" spans="1:38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</row>
    <row r="605" spans="1:38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</row>
    <row r="606" spans="1:38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</row>
    <row r="607" spans="1:38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</row>
    <row r="608" spans="1:3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</row>
    <row r="609" spans="1:38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</row>
    <row r="610" spans="1:38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</row>
    <row r="611" spans="1:38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</row>
    <row r="612" spans="1:38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</row>
    <row r="613" spans="1:38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</row>
    <row r="614" spans="1:38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</row>
    <row r="615" spans="1:38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</row>
    <row r="616" spans="1:38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</row>
    <row r="617" spans="1:38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</row>
    <row r="618" spans="1:3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</row>
    <row r="619" spans="1:38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</row>
    <row r="620" spans="1:38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</row>
    <row r="621" spans="1:38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</row>
    <row r="622" spans="1:38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</row>
    <row r="623" spans="1:38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</row>
    <row r="624" spans="1:38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</row>
    <row r="625" spans="1:38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</row>
    <row r="626" spans="1:38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</row>
    <row r="627" spans="1:38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</row>
    <row r="628" spans="1:3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</row>
    <row r="629" spans="1:38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</row>
    <row r="630" spans="1:38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</row>
    <row r="631" spans="1:38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</row>
    <row r="632" spans="1:38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</row>
    <row r="633" spans="1:38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</row>
    <row r="634" spans="1:38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</row>
    <row r="635" spans="1:38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</row>
    <row r="636" spans="1:38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</row>
    <row r="637" spans="1:38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</row>
    <row r="638" spans="1: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</row>
    <row r="639" spans="1:38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</row>
    <row r="640" spans="1:38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</row>
    <row r="641" spans="1:38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</row>
    <row r="642" spans="1:38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</row>
    <row r="643" spans="1:38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</row>
    <row r="644" spans="1:38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</row>
    <row r="645" spans="1:38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</row>
    <row r="646" spans="1:38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</row>
    <row r="647" spans="1:38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</row>
    <row r="648" spans="1:3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</row>
    <row r="649" spans="1:38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</row>
    <row r="650" spans="1:38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</row>
    <row r="651" spans="1:38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</row>
    <row r="652" spans="1:38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</row>
    <row r="653" spans="1:38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</row>
    <row r="654" spans="1:38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</row>
    <row r="655" spans="1:38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</row>
    <row r="656" spans="1:38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</row>
    <row r="657" spans="1:38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</row>
    <row r="658" spans="1:3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</row>
    <row r="659" spans="1:38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</row>
    <row r="660" spans="1:38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</row>
    <row r="661" spans="1:38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</row>
    <row r="662" spans="1:38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</row>
    <row r="663" spans="1:38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</row>
    <row r="664" spans="1:38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</row>
    <row r="665" spans="1:38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</row>
    <row r="666" spans="1:38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</row>
    <row r="667" spans="1:38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</row>
    <row r="668" spans="1:3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</row>
    <row r="669" spans="1:38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</row>
    <row r="670" spans="1:38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</row>
    <row r="671" spans="1:38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</row>
    <row r="672" spans="1:38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</row>
    <row r="673" spans="1:38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</row>
    <row r="674" spans="1:38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</row>
    <row r="675" spans="1:38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</row>
    <row r="676" spans="1:38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</row>
    <row r="677" spans="1:38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</row>
    <row r="678" spans="1:3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</row>
    <row r="679" spans="1:38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</row>
    <row r="680" spans="1:38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</row>
    <row r="681" spans="1:38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</row>
    <row r="682" spans="1:38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</row>
    <row r="683" spans="1:38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</row>
    <row r="684" spans="1:38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</row>
    <row r="685" spans="1:38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</row>
    <row r="686" spans="1:38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</row>
    <row r="687" spans="1:38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</row>
    <row r="688" spans="1:3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</row>
    <row r="689" spans="1:38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</row>
    <row r="690" spans="1:38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</row>
    <row r="691" spans="1:38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</row>
    <row r="692" spans="1:38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</row>
    <row r="693" spans="1:38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</row>
    <row r="694" spans="1:38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</row>
    <row r="695" spans="1:38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</row>
    <row r="696" spans="1:38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</row>
    <row r="697" spans="1:38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</row>
    <row r="698" spans="1:3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</row>
    <row r="699" spans="1:38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</row>
    <row r="700" spans="1:38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</row>
    <row r="701" spans="1:38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</row>
    <row r="702" spans="1:38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</row>
    <row r="703" spans="1:38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</row>
    <row r="704" spans="1:38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</row>
    <row r="705" spans="1:38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</row>
    <row r="706" spans="1:38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</row>
    <row r="707" spans="1:38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</row>
    <row r="708" spans="1:3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</row>
    <row r="709" spans="1:38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</row>
    <row r="710" spans="1:38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</row>
    <row r="711" spans="1:38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</row>
    <row r="712" spans="1:38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</row>
    <row r="713" spans="1:38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</row>
    <row r="714" spans="1:38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</row>
    <row r="715" spans="1:38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</row>
    <row r="716" spans="1:38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</row>
    <row r="717" spans="1:38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</row>
    <row r="718" spans="1:3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</row>
    <row r="719" spans="1:38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</row>
    <row r="720" spans="1:38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</row>
    <row r="721" spans="1:38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</row>
    <row r="722" spans="1:38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</row>
    <row r="723" spans="1:38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</row>
    <row r="724" spans="1:38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</row>
    <row r="725" spans="1:38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</row>
    <row r="726" spans="1:38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</row>
    <row r="727" spans="1:38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</row>
    <row r="728" spans="1:3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</row>
    <row r="729" spans="1:38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</row>
    <row r="730" spans="1:38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</row>
    <row r="731" spans="1:38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</row>
    <row r="732" spans="1:38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</row>
    <row r="733" spans="1:38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</row>
    <row r="734" spans="1:38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</row>
    <row r="735" spans="1:38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</row>
    <row r="736" spans="1:38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</row>
    <row r="737" spans="1:38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</row>
    <row r="738" spans="1: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</row>
    <row r="739" spans="1:38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</row>
    <row r="740" spans="1:38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</row>
    <row r="741" spans="1:38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</row>
    <row r="742" spans="1:38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</row>
    <row r="743" spans="1:38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</row>
    <row r="744" spans="1:38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</row>
    <row r="745" spans="1:38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</row>
    <row r="746" spans="1:38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</row>
    <row r="747" spans="1:38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</row>
    <row r="748" spans="1:3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</row>
    <row r="749" spans="1:38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</row>
    <row r="750" spans="1:38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</row>
    <row r="751" spans="1:38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</row>
    <row r="752" spans="1:38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</row>
    <row r="753" spans="1:38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</row>
    <row r="754" spans="1:38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</row>
    <row r="755" spans="1:38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</row>
    <row r="756" spans="1:38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</row>
    <row r="757" spans="1:38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</row>
    <row r="758" spans="1:3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</row>
    <row r="759" spans="1:38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</row>
    <row r="760" spans="1:38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</row>
    <row r="761" spans="1:38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</row>
    <row r="762" spans="1:38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</row>
    <row r="763" spans="1:38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</row>
    <row r="764" spans="1:38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</row>
    <row r="765" spans="1:38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</row>
    <row r="766" spans="1:38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</row>
    <row r="767" spans="1:38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</row>
    <row r="768" spans="1:3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</row>
    <row r="769" spans="1:38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</row>
    <row r="770" spans="1:38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</row>
    <row r="771" spans="1:38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</row>
    <row r="772" spans="1:38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</row>
    <row r="773" spans="1:38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</row>
    <row r="774" spans="1:38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</row>
    <row r="775" spans="1:38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</row>
    <row r="776" spans="1:38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</row>
    <row r="777" spans="1:38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</row>
    <row r="778" spans="1:3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</row>
    <row r="779" spans="1:38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</row>
    <row r="780" spans="1:38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</row>
    <row r="781" spans="1:38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</row>
    <row r="782" spans="1:38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</row>
    <row r="783" spans="1:38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</row>
    <row r="784" spans="1:38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</row>
    <row r="785" spans="1:38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</row>
    <row r="786" spans="1:38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</row>
    <row r="787" spans="1:38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</row>
    <row r="788" spans="1:3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</row>
    <row r="789" spans="1:38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</row>
    <row r="790" spans="1:38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</row>
    <row r="791" spans="1:38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</row>
    <row r="792" spans="1:38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</row>
    <row r="793" spans="1:38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</row>
    <row r="794" spans="1:38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</row>
    <row r="795" spans="1:38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</row>
    <row r="796" spans="1:38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</row>
    <row r="797" spans="1:38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</row>
    <row r="798" spans="1:3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</row>
    <row r="799" spans="1:38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</row>
    <row r="800" spans="1:38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</row>
    <row r="801" spans="1:38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</row>
    <row r="802" spans="1:38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</row>
    <row r="803" spans="1:38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</row>
    <row r="804" spans="1:38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</row>
    <row r="805" spans="1:38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</row>
    <row r="806" spans="1:38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</row>
    <row r="807" spans="1:38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</row>
    <row r="808" spans="1:3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</row>
    <row r="809" spans="1:38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</row>
    <row r="810" spans="1:38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</row>
    <row r="811" spans="1:38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</row>
    <row r="812" spans="1:38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</row>
    <row r="813" spans="1:38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</row>
    <row r="814" spans="1:38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</row>
    <row r="815" spans="1:38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</row>
    <row r="816" spans="1:38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</row>
    <row r="817" spans="1:38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</row>
    <row r="818" spans="1:3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</row>
    <row r="819" spans="1:38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</row>
    <row r="820" spans="1:38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</row>
    <row r="821" spans="1:38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</row>
    <row r="822" spans="1:38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</row>
    <row r="823" spans="1:38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</row>
    <row r="824" spans="1:38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</row>
    <row r="825" spans="1:38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</row>
    <row r="826" spans="1:38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</row>
    <row r="827" spans="1:38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</row>
    <row r="828" spans="1:3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</row>
    <row r="829" spans="1:38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</row>
    <row r="830" spans="1:38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</row>
    <row r="831" spans="1:38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</row>
    <row r="832" spans="1:38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</row>
    <row r="833" spans="1:38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</row>
    <row r="834" spans="1:38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</row>
    <row r="835" spans="1:38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</row>
    <row r="836" spans="1:38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</row>
    <row r="837" spans="1:38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</row>
    <row r="838" spans="1: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</row>
    <row r="839" spans="1:38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</row>
    <row r="840" spans="1:38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</row>
    <row r="841" spans="1:38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</row>
    <row r="842" spans="1:38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</row>
    <row r="843" spans="1:38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</row>
    <row r="844" spans="1:38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</row>
    <row r="845" spans="1:38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</row>
    <row r="846" spans="1:38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</row>
    <row r="847" spans="1:38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</row>
    <row r="848" spans="1:3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</row>
    <row r="849" spans="1:38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</row>
    <row r="850" spans="1:38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</row>
    <row r="851" spans="1:38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</row>
    <row r="852" spans="1:38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</row>
    <row r="853" spans="1:38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</row>
    <row r="854" spans="1:38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</row>
    <row r="855" spans="1:38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</row>
    <row r="856" spans="1:38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</row>
    <row r="857" spans="1:38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</row>
    <row r="858" spans="1:3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</row>
    <row r="859" spans="1:38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</row>
    <row r="860" spans="1:38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</row>
    <row r="861" spans="1:38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</row>
    <row r="862" spans="1:38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</row>
    <row r="863" spans="1:38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</row>
    <row r="864" spans="1:38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</row>
    <row r="865" spans="1:38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</row>
    <row r="866" spans="1:38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</row>
    <row r="867" spans="1:38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</row>
    <row r="868" spans="1:3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</row>
    <row r="869" spans="1:38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</row>
    <row r="870" spans="1:38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</row>
    <row r="871" spans="1:38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</row>
    <row r="872" spans="1:38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</row>
    <row r="873" spans="1:38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</row>
    <row r="874" spans="1:38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</row>
    <row r="875" spans="1:38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</row>
    <row r="876" spans="1:38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</row>
    <row r="877" spans="1:38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</row>
    <row r="878" spans="1:3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</row>
    <row r="879" spans="1:38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</row>
    <row r="880" spans="1:38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</row>
    <row r="881" spans="1:38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</row>
    <row r="882" spans="1:38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</row>
    <row r="883" spans="1:38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</row>
    <row r="884" spans="1:38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</row>
    <row r="885" spans="1:38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</row>
    <row r="886" spans="1:38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</row>
    <row r="887" spans="1:38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</row>
    <row r="888" spans="1:3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</row>
    <row r="889" spans="1:38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</row>
    <row r="890" spans="1:38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</row>
    <row r="891" spans="1:38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</row>
    <row r="892" spans="1:38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</row>
    <row r="893" spans="1:38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</row>
    <row r="894" spans="1:38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</row>
    <row r="895" spans="1:38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</row>
    <row r="896" spans="1:38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</row>
    <row r="897" spans="1:38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</row>
    <row r="898" spans="1:3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</row>
    <row r="899" spans="1:38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</row>
    <row r="900" spans="1:38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</row>
    <row r="901" spans="1:38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</row>
    <row r="902" spans="1:38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</row>
    <row r="903" spans="1:38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</row>
    <row r="904" spans="1:38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</row>
    <row r="905" spans="1:38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</row>
    <row r="906" spans="1:38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</row>
    <row r="907" spans="1:38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</row>
    <row r="908" spans="1:3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</row>
    <row r="909" spans="1:38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</row>
    <row r="910" spans="1:38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</row>
    <row r="911" spans="1:38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</row>
    <row r="912" spans="1:38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</row>
    <row r="913" spans="1:38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</row>
    <row r="914" spans="1:38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</row>
    <row r="915" spans="1:38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</row>
    <row r="916" spans="1:38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</row>
    <row r="917" spans="1:38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</row>
    <row r="918" spans="1:3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</row>
    <row r="919" spans="1:38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</row>
    <row r="920" spans="1:38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</row>
    <row r="921" spans="1:38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</row>
    <row r="922" spans="1:38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</row>
    <row r="923" spans="1:38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</row>
    <row r="924" spans="1:38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</row>
    <row r="925" spans="1:38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</row>
    <row r="926" spans="1:38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</row>
    <row r="927" spans="1:38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</row>
    <row r="928" spans="1:3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</row>
    <row r="929" spans="1:38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</row>
    <row r="930" spans="1:38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</row>
    <row r="931" spans="1:38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</row>
    <row r="932" spans="1:38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</row>
    <row r="933" spans="1:38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</row>
    <row r="934" spans="1:38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</row>
    <row r="935" spans="1:38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</row>
    <row r="936" spans="1:38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</row>
    <row r="937" spans="1:38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</row>
    <row r="938" spans="1: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</row>
    <row r="939" spans="1:38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</row>
    <row r="940" spans="1:38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</row>
    <row r="941" spans="1:38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</row>
    <row r="942" spans="1:38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</row>
    <row r="943" spans="1:38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</row>
    <row r="944" spans="1:38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</row>
    <row r="945" spans="1:38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</row>
    <row r="946" spans="1:38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</row>
    <row r="947" spans="1:38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</row>
    <row r="948" spans="1:3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</row>
    <row r="949" spans="1:38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</row>
    <row r="950" spans="1:38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</row>
    <row r="951" spans="1:38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</row>
    <row r="952" spans="1:38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</row>
    <row r="953" spans="1:38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</row>
    <row r="954" spans="1:38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</row>
    <row r="955" spans="1:38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</row>
    <row r="956" spans="1:38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</row>
    <row r="957" spans="1:38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</row>
    <row r="958" spans="1:3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</row>
    <row r="959" spans="1:38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</row>
    <row r="960" spans="1:38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</row>
    <row r="961" spans="1:38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</row>
    <row r="962" spans="1:38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</row>
    <row r="963" spans="1:38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</row>
    <row r="964" spans="1:38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</row>
    <row r="965" spans="1:38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</row>
    <row r="966" spans="1:38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</row>
    <row r="967" spans="1:38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</row>
    <row r="968" spans="1:3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</row>
    <row r="969" spans="1:38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</row>
    <row r="970" spans="1:38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</row>
    <row r="971" spans="1:38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</row>
    <row r="972" spans="1:38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</row>
    <row r="973" spans="1:38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</row>
    <row r="974" spans="1:38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</row>
    <row r="975" spans="1:38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</row>
    <row r="976" spans="1:38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</row>
    <row r="977" spans="1:38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</row>
    <row r="978" spans="1:3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</row>
    <row r="979" spans="1:38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</row>
    <row r="980" spans="1:38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</row>
    <row r="981" spans="1:38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</row>
    <row r="982" spans="1:38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</row>
    <row r="983" spans="1:38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</row>
    <row r="984" spans="1:38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</row>
    <row r="985" spans="1:38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</row>
    <row r="986" spans="1:38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</row>
    <row r="987" spans="1:38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</row>
    <row r="988" spans="1:3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</row>
    <row r="989" spans="1:38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</row>
    <row r="990" spans="1:38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</row>
    <row r="991" spans="1:38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</row>
    <row r="992" spans="1:38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</row>
    <row r="993" spans="1:38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</row>
    <row r="994" spans="1:38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</row>
    <row r="995" spans="1:38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</row>
    <row r="996" spans="1:38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</row>
    <row r="997" spans="1:38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</row>
    <row r="998" spans="1:3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</row>
    <row r="999" spans="1:38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</row>
    <row r="1000" spans="1:38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</row>
    <row r="1001" spans="1:38" ht="15.75" customHeight="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  <c r="AE1001" s="110"/>
      <c r="AF1001" s="110"/>
      <c r="AG1001" s="110"/>
      <c r="AH1001" s="110"/>
      <c r="AI1001" s="110"/>
      <c r="AJ1001" s="110"/>
      <c r="AK1001" s="110"/>
      <c r="AL1001" s="110"/>
    </row>
    <row r="1002" spans="1:38" ht="15.75" customHeight="1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  <c r="AD1002" s="110"/>
      <c r="AE1002" s="110"/>
      <c r="AF1002" s="110"/>
      <c r="AG1002" s="110"/>
      <c r="AH1002" s="110"/>
      <c r="AI1002" s="110"/>
      <c r="AJ1002" s="110"/>
      <c r="AK1002" s="110"/>
      <c r="AL1002" s="110"/>
    </row>
    <row r="1003" spans="1:38" ht="15.75" customHeight="1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  <c r="AB1003" s="110"/>
      <c r="AC1003" s="110"/>
      <c r="AD1003" s="110"/>
      <c r="AE1003" s="110"/>
      <c r="AF1003" s="110"/>
      <c r="AG1003" s="110"/>
      <c r="AH1003" s="110"/>
      <c r="AI1003" s="110"/>
      <c r="AJ1003" s="110"/>
      <c r="AK1003" s="110"/>
      <c r="AL1003" s="110"/>
    </row>
    <row r="1004" spans="1:38" ht="15.75" customHeight="1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  <c r="AA1004" s="110"/>
      <c r="AB1004" s="110"/>
      <c r="AC1004" s="110"/>
      <c r="AD1004" s="110"/>
      <c r="AE1004" s="110"/>
      <c r="AF1004" s="110"/>
      <c r="AG1004" s="110"/>
      <c r="AH1004" s="110"/>
      <c r="AI1004" s="110"/>
      <c r="AJ1004" s="110"/>
      <c r="AK1004" s="110"/>
      <c r="AL1004" s="110"/>
    </row>
    <row r="1005" spans="1:38" ht="15.75" customHeight="1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  <c r="AA1005" s="110"/>
      <c r="AB1005" s="110"/>
      <c r="AC1005" s="110"/>
      <c r="AD1005" s="110"/>
      <c r="AE1005" s="110"/>
      <c r="AF1005" s="110"/>
      <c r="AG1005" s="110"/>
      <c r="AH1005" s="110"/>
      <c r="AI1005" s="110"/>
      <c r="AJ1005" s="110"/>
      <c r="AK1005" s="110"/>
      <c r="AL1005" s="110"/>
    </row>
    <row r="1006" spans="1:38" ht="15.75" customHeight="1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  <c r="AA1006" s="110"/>
      <c r="AB1006" s="110"/>
      <c r="AC1006" s="110"/>
      <c r="AD1006" s="110"/>
      <c r="AE1006" s="110"/>
      <c r="AF1006" s="110"/>
      <c r="AG1006" s="110"/>
      <c r="AH1006" s="110"/>
      <c r="AI1006" s="110"/>
      <c r="AJ1006" s="110"/>
      <c r="AK1006" s="110"/>
      <c r="AL1006" s="110"/>
    </row>
    <row r="1007" spans="1:38" ht="15.75" customHeight="1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  <c r="AA1007" s="110"/>
      <c r="AB1007" s="110"/>
      <c r="AC1007" s="110"/>
      <c r="AD1007" s="110"/>
      <c r="AE1007" s="110"/>
      <c r="AF1007" s="110"/>
      <c r="AG1007" s="110"/>
      <c r="AH1007" s="110"/>
      <c r="AI1007" s="110"/>
      <c r="AJ1007" s="110"/>
      <c r="AK1007" s="110"/>
      <c r="AL1007" s="110"/>
    </row>
    <row r="1008" spans="1:38" ht="15.75" customHeight="1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  <c r="AA1008" s="110"/>
      <c r="AB1008" s="110"/>
      <c r="AC1008" s="110"/>
      <c r="AD1008" s="110"/>
      <c r="AE1008" s="110"/>
      <c r="AF1008" s="110"/>
      <c r="AG1008" s="110"/>
      <c r="AH1008" s="110"/>
      <c r="AI1008" s="110"/>
      <c r="AJ1008" s="110"/>
      <c r="AK1008" s="110"/>
      <c r="AL1008" s="110"/>
    </row>
    <row r="1009" spans="1:38" ht="15.75" customHeight="1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  <c r="AA1009" s="110"/>
      <c r="AB1009" s="110"/>
      <c r="AC1009" s="110"/>
      <c r="AD1009" s="110"/>
      <c r="AE1009" s="110"/>
      <c r="AF1009" s="110"/>
      <c r="AG1009" s="110"/>
      <c r="AH1009" s="110"/>
      <c r="AI1009" s="110"/>
      <c r="AJ1009" s="110"/>
      <c r="AK1009" s="110"/>
      <c r="AL1009" s="110"/>
    </row>
    <row r="1010" spans="1:38" ht="15.75" customHeight="1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  <c r="AA1010" s="110"/>
      <c r="AB1010" s="110"/>
      <c r="AC1010" s="110"/>
      <c r="AD1010" s="110"/>
      <c r="AE1010" s="110"/>
      <c r="AF1010" s="110"/>
      <c r="AG1010" s="110"/>
      <c r="AH1010" s="110"/>
      <c r="AI1010" s="110"/>
      <c r="AJ1010" s="110"/>
      <c r="AK1010" s="110"/>
      <c r="AL1010" s="110"/>
    </row>
    <row r="1011" spans="1:38" ht="15.75" customHeight="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  <c r="AA1011" s="110"/>
      <c r="AB1011" s="110"/>
      <c r="AC1011" s="110"/>
      <c r="AD1011" s="110"/>
      <c r="AE1011" s="110"/>
      <c r="AF1011" s="110"/>
      <c r="AG1011" s="110"/>
      <c r="AH1011" s="110"/>
      <c r="AI1011" s="110"/>
      <c r="AJ1011" s="110"/>
      <c r="AK1011" s="110"/>
      <c r="AL1011" s="110"/>
    </row>
    <row r="1012" spans="1:38" ht="15.75" customHeight="1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  <c r="AA1012" s="110"/>
      <c r="AB1012" s="110"/>
      <c r="AC1012" s="110"/>
      <c r="AD1012" s="110"/>
      <c r="AE1012" s="110"/>
      <c r="AF1012" s="110"/>
      <c r="AG1012" s="110"/>
      <c r="AH1012" s="110"/>
      <c r="AI1012" s="110"/>
      <c r="AJ1012" s="110"/>
      <c r="AK1012" s="110"/>
      <c r="AL1012" s="110"/>
    </row>
    <row r="1013" spans="1:38" ht="15.75" customHeight="1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1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  <c r="AA1013" s="110"/>
      <c r="AB1013" s="110"/>
      <c r="AC1013" s="110"/>
      <c r="AD1013" s="110"/>
      <c r="AE1013" s="110"/>
      <c r="AF1013" s="110"/>
      <c r="AG1013" s="110"/>
      <c r="AH1013" s="110"/>
      <c r="AI1013" s="110"/>
      <c r="AJ1013" s="110"/>
      <c r="AK1013" s="110"/>
      <c r="AL1013" s="110"/>
    </row>
    <row r="1014" spans="1:38" ht="15.75" customHeight="1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1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  <c r="AA1014" s="110"/>
      <c r="AB1014" s="110"/>
      <c r="AC1014" s="110"/>
      <c r="AD1014" s="110"/>
      <c r="AE1014" s="110"/>
      <c r="AF1014" s="110"/>
      <c r="AG1014" s="110"/>
      <c r="AH1014" s="110"/>
      <c r="AI1014" s="110"/>
      <c r="AJ1014" s="110"/>
      <c r="AK1014" s="110"/>
      <c r="AL1014" s="110"/>
    </row>
    <row r="1015" spans="1:38" ht="15.75" customHeight="1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1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  <c r="AA1015" s="110"/>
      <c r="AB1015" s="110"/>
      <c r="AC1015" s="110"/>
      <c r="AD1015" s="110"/>
      <c r="AE1015" s="110"/>
      <c r="AF1015" s="110"/>
      <c r="AG1015" s="110"/>
      <c r="AH1015" s="110"/>
      <c r="AI1015" s="110"/>
      <c r="AJ1015" s="110"/>
      <c r="AK1015" s="110"/>
      <c r="AL1015" s="110"/>
    </row>
    <row r="1016" spans="1:38" ht="15.75" customHeight="1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1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  <c r="AA1016" s="110"/>
      <c r="AB1016" s="110"/>
      <c r="AC1016" s="110"/>
      <c r="AD1016" s="110"/>
      <c r="AE1016" s="110"/>
      <c r="AF1016" s="110"/>
      <c r="AG1016" s="110"/>
      <c r="AH1016" s="110"/>
      <c r="AI1016" s="110"/>
      <c r="AJ1016" s="110"/>
      <c r="AK1016" s="110"/>
      <c r="AL1016" s="110"/>
    </row>
    <row r="1017" spans="1:38" ht="15.75" customHeight="1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1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  <c r="AA1017" s="110"/>
      <c r="AB1017" s="110"/>
      <c r="AC1017" s="110"/>
      <c r="AD1017" s="110"/>
      <c r="AE1017" s="110"/>
      <c r="AF1017" s="110"/>
      <c r="AG1017" s="110"/>
      <c r="AH1017" s="110"/>
      <c r="AI1017" s="110"/>
      <c r="AJ1017" s="110"/>
      <c r="AK1017" s="110"/>
      <c r="AL1017" s="110"/>
    </row>
    <row r="1018" spans="1:38" ht="15.75" customHeight="1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1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  <c r="AA1018" s="110"/>
      <c r="AB1018" s="110"/>
      <c r="AC1018" s="110"/>
      <c r="AD1018" s="110"/>
      <c r="AE1018" s="110"/>
      <c r="AF1018" s="110"/>
      <c r="AG1018" s="110"/>
      <c r="AH1018" s="110"/>
      <c r="AI1018" s="110"/>
      <c r="AJ1018" s="110"/>
      <c r="AK1018" s="110"/>
      <c r="AL1018" s="110"/>
    </row>
    <row r="1019" spans="1:38" ht="15.75" customHeight="1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1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  <c r="AA1019" s="110"/>
      <c r="AB1019" s="110"/>
      <c r="AC1019" s="110"/>
      <c r="AD1019" s="110"/>
      <c r="AE1019" s="110"/>
      <c r="AF1019" s="110"/>
      <c r="AG1019" s="110"/>
      <c r="AH1019" s="110"/>
      <c r="AI1019" s="110"/>
      <c r="AJ1019" s="110"/>
      <c r="AK1019" s="110"/>
      <c r="AL1019" s="110"/>
    </row>
    <row r="1020" spans="1:38" ht="15.75" customHeight="1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1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  <c r="AA1020" s="110"/>
      <c r="AB1020" s="110"/>
      <c r="AC1020" s="110"/>
      <c r="AD1020" s="110"/>
      <c r="AE1020" s="110"/>
      <c r="AF1020" s="110"/>
      <c r="AG1020" s="110"/>
      <c r="AH1020" s="110"/>
      <c r="AI1020" s="110"/>
      <c r="AJ1020" s="110"/>
      <c r="AK1020" s="110"/>
      <c r="AL1020" s="110"/>
    </row>
    <row r="1021" spans="1:38" ht="15.75" customHeight="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1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  <c r="AA1021" s="110"/>
      <c r="AB1021" s="110"/>
      <c r="AC1021" s="110"/>
      <c r="AD1021" s="110"/>
      <c r="AE1021" s="110"/>
      <c r="AF1021" s="110"/>
      <c r="AG1021" s="110"/>
      <c r="AH1021" s="110"/>
      <c r="AI1021" s="110"/>
      <c r="AJ1021" s="110"/>
      <c r="AK1021" s="110"/>
      <c r="AL1021" s="110"/>
    </row>
    <row r="1022" spans="1:38" ht="15.75" customHeight="1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1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  <c r="AA1022" s="110"/>
      <c r="AB1022" s="110"/>
      <c r="AC1022" s="110"/>
      <c r="AD1022" s="110"/>
      <c r="AE1022" s="110"/>
      <c r="AF1022" s="110"/>
      <c r="AG1022" s="110"/>
      <c r="AH1022" s="110"/>
      <c r="AI1022" s="110"/>
      <c r="AJ1022" s="110"/>
      <c r="AK1022" s="110"/>
      <c r="AL1022" s="110"/>
    </row>
    <row r="1023" spans="1:38" ht="15.75" customHeight="1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1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  <c r="AA1023" s="110"/>
      <c r="AB1023" s="110"/>
      <c r="AC1023" s="110"/>
      <c r="AD1023" s="110"/>
      <c r="AE1023" s="110"/>
      <c r="AF1023" s="110"/>
      <c r="AG1023" s="110"/>
      <c r="AH1023" s="110"/>
      <c r="AI1023" s="110"/>
      <c r="AJ1023" s="110"/>
      <c r="AK1023" s="110"/>
      <c r="AL1023" s="110"/>
    </row>
    <row r="1024" spans="1:38" ht="15.75" customHeight="1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1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  <c r="AA1024" s="110"/>
      <c r="AB1024" s="110"/>
      <c r="AC1024" s="110"/>
      <c r="AD1024" s="110"/>
      <c r="AE1024" s="110"/>
      <c r="AF1024" s="110"/>
      <c r="AG1024" s="110"/>
      <c r="AH1024" s="110"/>
      <c r="AI1024" s="110"/>
      <c r="AJ1024" s="110"/>
      <c r="AK1024" s="110"/>
      <c r="AL1024" s="110"/>
    </row>
    <row r="1025" spans="1:38" ht="15.75" customHeight="1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1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  <c r="AA1025" s="110"/>
      <c r="AB1025" s="110"/>
      <c r="AC1025" s="110"/>
      <c r="AD1025" s="110"/>
      <c r="AE1025" s="110"/>
      <c r="AF1025" s="110"/>
      <c r="AG1025" s="110"/>
      <c r="AH1025" s="110"/>
      <c r="AI1025" s="110"/>
      <c r="AJ1025" s="110"/>
      <c r="AK1025" s="110"/>
      <c r="AL1025" s="110"/>
    </row>
    <row r="1026" spans="1:38" ht="15.75" customHeight="1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1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  <c r="AA1026" s="110"/>
      <c r="AB1026" s="110"/>
      <c r="AC1026" s="110"/>
      <c r="AD1026" s="110"/>
      <c r="AE1026" s="110"/>
      <c r="AF1026" s="110"/>
      <c r="AG1026" s="110"/>
      <c r="AH1026" s="110"/>
      <c r="AI1026" s="110"/>
      <c r="AJ1026" s="110"/>
      <c r="AK1026" s="110"/>
      <c r="AL1026" s="110"/>
    </row>
    <row r="1027" spans="1:38" ht="15.75" customHeight="1">
      <c r="A1027" s="110"/>
      <c r="B1027" s="110"/>
      <c r="C1027" s="110"/>
      <c r="D1027" s="110"/>
      <c r="E1027" s="110"/>
      <c r="F1027" s="110"/>
      <c r="G1027" s="110"/>
      <c r="H1027" s="110"/>
      <c r="I1027" s="110"/>
      <c r="J1027" s="110"/>
      <c r="K1027" s="11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  <c r="AA1027" s="110"/>
      <c r="AB1027" s="110"/>
      <c r="AC1027" s="110"/>
      <c r="AD1027" s="110"/>
      <c r="AE1027" s="110"/>
      <c r="AF1027" s="110"/>
      <c r="AG1027" s="110"/>
      <c r="AH1027" s="110"/>
      <c r="AI1027" s="110"/>
      <c r="AJ1027" s="110"/>
      <c r="AK1027" s="110"/>
      <c r="AL1027" s="110"/>
    </row>
    <row r="1028" spans="1:38" ht="15.75" customHeight="1">
      <c r="A1028" s="110"/>
      <c r="B1028" s="110"/>
      <c r="C1028" s="110"/>
      <c r="D1028" s="110"/>
      <c r="E1028" s="110"/>
      <c r="F1028" s="110"/>
      <c r="G1028" s="110"/>
      <c r="H1028" s="110"/>
      <c r="I1028" s="110"/>
      <c r="J1028" s="110"/>
      <c r="K1028" s="11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  <c r="AA1028" s="110"/>
      <c r="AB1028" s="110"/>
      <c r="AC1028" s="110"/>
      <c r="AD1028" s="110"/>
      <c r="AE1028" s="110"/>
      <c r="AF1028" s="110"/>
      <c r="AG1028" s="110"/>
      <c r="AH1028" s="110"/>
      <c r="AI1028" s="110"/>
      <c r="AJ1028" s="110"/>
      <c r="AK1028" s="110"/>
      <c r="AL1028" s="110"/>
    </row>
    <row r="1029" spans="1:38" ht="15.75" customHeight="1">
      <c r="A1029" s="110"/>
      <c r="B1029" s="110"/>
      <c r="C1029" s="110"/>
      <c r="D1029" s="110"/>
      <c r="E1029" s="110"/>
      <c r="F1029" s="110"/>
      <c r="G1029" s="110"/>
      <c r="H1029" s="110"/>
      <c r="I1029" s="110"/>
      <c r="J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  <c r="AB1029" s="110"/>
      <c r="AC1029" s="110"/>
      <c r="AD1029" s="110"/>
      <c r="AE1029" s="110"/>
      <c r="AF1029" s="110"/>
      <c r="AG1029" s="110"/>
      <c r="AH1029" s="110"/>
      <c r="AI1029" s="110"/>
      <c r="AJ1029" s="110"/>
      <c r="AK1029" s="110"/>
      <c r="AL1029" s="110"/>
    </row>
    <row r="1030" spans="1:38" ht="15.75" customHeight="1">
      <c r="A1030" s="110"/>
      <c r="B1030" s="110"/>
      <c r="C1030" s="110"/>
      <c r="D1030" s="110"/>
      <c r="E1030" s="110"/>
      <c r="F1030" s="110"/>
      <c r="G1030" s="110"/>
      <c r="H1030" s="110"/>
      <c r="I1030" s="110"/>
      <c r="J1030" s="110"/>
      <c r="K1030" s="110"/>
      <c r="L1030" s="110"/>
      <c r="M1030" s="110"/>
      <c r="N1030" s="110"/>
      <c r="O1030" s="110"/>
      <c r="P1030" s="110"/>
      <c r="Q1030" s="110"/>
      <c r="R1030" s="110"/>
      <c r="S1030" s="110"/>
      <c r="T1030" s="110"/>
      <c r="U1030" s="110"/>
      <c r="V1030" s="110"/>
      <c r="W1030" s="110"/>
      <c r="X1030" s="110"/>
      <c r="Y1030" s="110"/>
      <c r="Z1030" s="110"/>
      <c r="AA1030" s="110"/>
      <c r="AB1030" s="110"/>
      <c r="AC1030" s="110"/>
      <c r="AD1030" s="110"/>
      <c r="AE1030" s="110"/>
      <c r="AF1030" s="110"/>
      <c r="AG1030" s="110"/>
      <c r="AH1030" s="110"/>
      <c r="AI1030" s="110"/>
      <c r="AJ1030" s="110"/>
      <c r="AK1030" s="110"/>
      <c r="AL1030" s="110"/>
    </row>
    <row r="1031" spans="1:38" ht="15.75" customHeight="1">
      <c r="A1031" s="110"/>
      <c r="B1031" s="110"/>
      <c r="C1031" s="110"/>
      <c r="D1031" s="110"/>
      <c r="E1031" s="110"/>
      <c r="F1031" s="110"/>
      <c r="G1031" s="110"/>
      <c r="H1031" s="110"/>
      <c r="I1031" s="110"/>
      <c r="J1031" s="110"/>
      <c r="K1031" s="110"/>
      <c r="L1031" s="110"/>
      <c r="M1031" s="110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  <c r="AA1031" s="110"/>
      <c r="AB1031" s="110"/>
      <c r="AC1031" s="110"/>
      <c r="AD1031" s="110"/>
      <c r="AE1031" s="110"/>
      <c r="AF1031" s="110"/>
      <c r="AG1031" s="110"/>
      <c r="AH1031" s="110"/>
      <c r="AI1031" s="110"/>
      <c r="AJ1031" s="110"/>
      <c r="AK1031" s="110"/>
      <c r="AL1031" s="110"/>
    </row>
    <row r="1032" spans="1:38" ht="15.75" customHeight="1">
      <c r="A1032" s="110"/>
      <c r="B1032" s="110"/>
      <c r="C1032" s="110"/>
      <c r="D1032" s="110"/>
      <c r="E1032" s="110"/>
      <c r="F1032" s="110"/>
      <c r="G1032" s="110"/>
      <c r="H1032" s="110"/>
      <c r="I1032" s="110"/>
      <c r="J1032" s="110"/>
      <c r="K1032" s="110"/>
      <c r="L1032" s="110"/>
      <c r="M1032" s="110"/>
      <c r="N1032" s="110"/>
      <c r="O1032" s="110"/>
      <c r="P1032" s="110"/>
      <c r="Q1032" s="110"/>
      <c r="R1032" s="110"/>
      <c r="S1032" s="110"/>
      <c r="T1032" s="110"/>
      <c r="U1032" s="110"/>
      <c r="V1032" s="110"/>
      <c r="W1032" s="110"/>
      <c r="X1032" s="110"/>
      <c r="Y1032" s="110"/>
      <c r="Z1032" s="110"/>
      <c r="AA1032" s="110"/>
      <c r="AB1032" s="110"/>
      <c r="AC1032" s="110"/>
      <c r="AD1032" s="110"/>
      <c r="AE1032" s="110"/>
      <c r="AF1032" s="110"/>
      <c r="AG1032" s="110"/>
      <c r="AH1032" s="110"/>
      <c r="AI1032" s="110"/>
      <c r="AJ1032" s="110"/>
      <c r="AK1032" s="110"/>
      <c r="AL1032" s="110"/>
    </row>
    <row r="1033" spans="1:38" ht="15.75" customHeight="1">
      <c r="A1033" s="110"/>
      <c r="B1033" s="110"/>
      <c r="C1033" s="110"/>
      <c r="D1033" s="110"/>
      <c r="E1033" s="110"/>
      <c r="F1033" s="110"/>
      <c r="G1033" s="110"/>
      <c r="H1033" s="110"/>
      <c r="I1033" s="110"/>
      <c r="J1033" s="110"/>
      <c r="K1033" s="110"/>
      <c r="L1033" s="110"/>
      <c r="M1033" s="110"/>
      <c r="N1033" s="110"/>
      <c r="O1033" s="110"/>
      <c r="P1033" s="110"/>
      <c r="Q1033" s="110"/>
      <c r="R1033" s="110"/>
      <c r="S1033" s="110"/>
      <c r="T1033" s="110"/>
      <c r="U1033" s="110"/>
      <c r="V1033" s="110"/>
      <c r="W1033" s="110"/>
      <c r="X1033" s="110"/>
      <c r="Y1033" s="110"/>
      <c r="Z1033" s="110"/>
      <c r="AA1033" s="110"/>
      <c r="AB1033" s="110"/>
      <c r="AC1033" s="110"/>
      <c r="AD1033" s="110"/>
      <c r="AE1033" s="110"/>
      <c r="AF1033" s="110"/>
      <c r="AG1033" s="110"/>
      <c r="AH1033" s="110"/>
      <c r="AI1033" s="110"/>
      <c r="AJ1033" s="110"/>
      <c r="AK1033" s="110"/>
      <c r="AL1033" s="110"/>
    </row>
    <row r="1034" spans="1:38" ht="15.75" customHeight="1">
      <c r="A1034" s="110"/>
      <c r="B1034" s="110"/>
      <c r="C1034" s="110"/>
      <c r="D1034" s="110"/>
      <c r="E1034" s="110"/>
      <c r="F1034" s="110"/>
      <c r="G1034" s="110"/>
      <c r="H1034" s="110"/>
      <c r="I1034" s="110"/>
      <c r="J1034" s="110"/>
      <c r="K1034" s="110"/>
      <c r="L1034" s="110"/>
      <c r="M1034" s="110"/>
      <c r="N1034" s="110"/>
      <c r="O1034" s="110"/>
      <c r="P1034" s="110"/>
      <c r="Q1034" s="110"/>
      <c r="R1034" s="110"/>
      <c r="S1034" s="110"/>
      <c r="T1034" s="110"/>
      <c r="U1034" s="110"/>
      <c r="V1034" s="110"/>
      <c r="W1034" s="110"/>
      <c r="X1034" s="110"/>
      <c r="Y1034" s="110"/>
      <c r="Z1034" s="110"/>
      <c r="AA1034" s="110"/>
      <c r="AB1034" s="110"/>
      <c r="AC1034" s="110"/>
      <c r="AD1034" s="110"/>
      <c r="AE1034" s="110"/>
      <c r="AF1034" s="110"/>
      <c r="AG1034" s="110"/>
      <c r="AH1034" s="110"/>
      <c r="AI1034" s="110"/>
      <c r="AJ1034" s="110"/>
      <c r="AK1034" s="110"/>
      <c r="AL1034" s="110"/>
    </row>
    <row r="1035" spans="1:38" ht="15.75" customHeight="1">
      <c r="A1035" s="110"/>
      <c r="B1035" s="110"/>
      <c r="C1035" s="110"/>
      <c r="D1035" s="110"/>
      <c r="E1035" s="110"/>
      <c r="F1035" s="110"/>
      <c r="G1035" s="110"/>
      <c r="H1035" s="110"/>
      <c r="I1035" s="110"/>
      <c r="J1035" s="110"/>
      <c r="K1035" s="110"/>
      <c r="L1035" s="110"/>
      <c r="M1035" s="110"/>
      <c r="N1035" s="110"/>
      <c r="O1035" s="110"/>
      <c r="P1035" s="110"/>
      <c r="Q1035" s="110"/>
      <c r="R1035" s="110"/>
      <c r="S1035" s="110"/>
      <c r="T1035" s="110"/>
      <c r="U1035" s="110"/>
      <c r="V1035" s="110"/>
      <c r="W1035" s="110"/>
      <c r="X1035" s="110"/>
      <c r="Y1035" s="110"/>
      <c r="Z1035" s="110"/>
      <c r="AA1035" s="110"/>
      <c r="AB1035" s="110"/>
      <c r="AC1035" s="110"/>
      <c r="AD1035" s="110"/>
      <c r="AE1035" s="110"/>
      <c r="AF1035" s="110"/>
      <c r="AG1035" s="110"/>
      <c r="AH1035" s="110"/>
      <c r="AI1035" s="110"/>
      <c r="AJ1035" s="110"/>
      <c r="AK1035" s="110"/>
      <c r="AL1035" s="110"/>
    </row>
    <row r="1036" spans="1:38" ht="15.75" customHeight="1">
      <c r="A1036" s="110"/>
      <c r="B1036" s="110"/>
      <c r="C1036" s="110"/>
      <c r="D1036" s="110"/>
      <c r="E1036" s="110"/>
      <c r="F1036" s="110"/>
      <c r="G1036" s="110"/>
      <c r="H1036" s="110"/>
      <c r="I1036" s="110"/>
      <c r="J1036" s="110"/>
      <c r="K1036" s="110"/>
      <c r="L1036" s="110"/>
      <c r="M1036" s="110"/>
      <c r="N1036" s="110"/>
      <c r="O1036" s="110"/>
      <c r="P1036" s="110"/>
      <c r="Q1036" s="110"/>
      <c r="R1036" s="110"/>
      <c r="S1036" s="110"/>
      <c r="T1036" s="110"/>
      <c r="U1036" s="110"/>
      <c r="V1036" s="110"/>
      <c r="W1036" s="110"/>
      <c r="X1036" s="110"/>
      <c r="Y1036" s="110"/>
      <c r="Z1036" s="110"/>
      <c r="AA1036" s="110"/>
      <c r="AB1036" s="110"/>
      <c r="AC1036" s="110"/>
      <c r="AD1036" s="110"/>
      <c r="AE1036" s="110"/>
      <c r="AF1036" s="110"/>
      <c r="AG1036" s="110"/>
      <c r="AH1036" s="110"/>
      <c r="AI1036" s="110"/>
      <c r="AJ1036" s="110"/>
      <c r="AK1036" s="110"/>
      <c r="AL1036" s="110"/>
    </row>
    <row r="1037" spans="1:38" ht="15.75" customHeight="1">
      <c r="A1037" s="110"/>
      <c r="B1037" s="110"/>
      <c r="C1037" s="110"/>
      <c r="D1037" s="110"/>
      <c r="E1037" s="110"/>
      <c r="F1037" s="110"/>
      <c r="G1037" s="110"/>
      <c r="H1037" s="110"/>
      <c r="I1037" s="110"/>
      <c r="J1037" s="110"/>
      <c r="K1037" s="110"/>
      <c r="L1037" s="110"/>
      <c r="M1037" s="110"/>
      <c r="N1037" s="110"/>
      <c r="O1037" s="110"/>
      <c r="P1037" s="110"/>
      <c r="Q1037" s="110"/>
      <c r="R1037" s="110"/>
      <c r="S1037" s="110"/>
      <c r="T1037" s="110"/>
      <c r="U1037" s="110"/>
      <c r="V1037" s="110"/>
      <c r="W1037" s="110"/>
      <c r="X1037" s="110"/>
      <c r="Y1037" s="110"/>
      <c r="Z1037" s="110"/>
      <c r="AA1037" s="110"/>
      <c r="AB1037" s="110"/>
      <c r="AC1037" s="110"/>
      <c r="AD1037" s="110"/>
      <c r="AE1037" s="110"/>
      <c r="AF1037" s="110"/>
      <c r="AG1037" s="110"/>
      <c r="AH1037" s="110"/>
      <c r="AI1037" s="110"/>
      <c r="AJ1037" s="110"/>
      <c r="AK1037" s="110"/>
      <c r="AL1037" s="110"/>
    </row>
    <row r="1038" spans="1:38" ht="15.75" customHeight="1">
      <c r="A1038" s="110"/>
      <c r="B1038" s="110"/>
      <c r="C1038" s="110"/>
      <c r="D1038" s="110"/>
      <c r="E1038" s="110"/>
      <c r="F1038" s="110"/>
      <c r="G1038" s="110"/>
      <c r="H1038" s="110"/>
      <c r="I1038" s="110"/>
      <c r="J1038" s="110"/>
      <c r="K1038" s="110"/>
      <c r="L1038" s="110"/>
      <c r="M1038" s="110"/>
      <c r="N1038" s="110"/>
      <c r="O1038" s="110"/>
      <c r="P1038" s="110"/>
      <c r="Q1038" s="110"/>
      <c r="R1038" s="110"/>
      <c r="S1038" s="110"/>
      <c r="T1038" s="110"/>
      <c r="U1038" s="110"/>
      <c r="V1038" s="110"/>
      <c r="W1038" s="110"/>
      <c r="X1038" s="110"/>
      <c r="Y1038" s="110"/>
      <c r="Z1038" s="110"/>
      <c r="AA1038" s="110"/>
      <c r="AB1038" s="110"/>
      <c r="AC1038" s="110"/>
      <c r="AD1038" s="110"/>
      <c r="AE1038" s="110"/>
      <c r="AF1038" s="110"/>
      <c r="AG1038" s="110"/>
      <c r="AH1038" s="110"/>
      <c r="AI1038" s="110"/>
      <c r="AJ1038" s="110"/>
      <c r="AK1038" s="110"/>
      <c r="AL1038" s="110"/>
    </row>
    <row r="1039" spans="1:38" ht="15.75" customHeight="1">
      <c r="A1039" s="110"/>
      <c r="B1039" s="110"/>
      <c r="C1039" s="110"/>
      <c r="D1039" s="110"/>
      <c r="E1039" s="110"/>
      <c r="F1039" s="110"/>
      <c r="G1039" s="110"/>
      <c r="H1039" s="110"/>
      <c r="I1039" s="110"/>
      <c r="J1039" s="110"/>
      <c r="K1039" s="110"/>
      <c r="L1039" s="110"/>
      <c r="M1039" s="110"/>
      <c r="N1039" s="110"/>
      <c r="O1039" s="110"/>
      <c r="P1039" s="110"/>
      <c r="Q1039" s="110"/>
      <c r="R1039" s="110"/>
      <c r="S1039" s="110"/>
      <c r="T1039" s="110"/>
      <c r="U1039" s="110"/>
      <c r="V1039" s="110"/>
      <c r="W1039" s="110"/>
      <c r="X1039" s="110"/>
      <c r="Y1039" s="110"/>
      <c r="Z1039" s="110"/>
      <c r="AA1039" s="110"/>
      <c r="AB1039" s="110"/>
      <c r="AC1039" s="110"/>
      <c r="AD1039" s="110"/>
      <c r="AE1039" s="110"/>
      <c r="AF1039" s="110"/>
      <c r="AG1039" s="110"/>
      <c r="AH1039" s="110"/>
      <c r="AI1039" s="110"/>
      <c r="AJ1039" s="110"/>
      <c r="AK1039" s="110"/>
      <c r="AL1039" s="110"/>
    </row>
    <row r="1040" spans="1:38" ht="15.75" customHeight="1">
      <c r="A1040" s="110"/>
      <c r="B1040" s="110"/>
      <c r="C1040" s="110"/>
      <c r="D1040" s="110"/>
      <c r="E1040" s="110"/>
      <c r="F1040" s="110"/>
      <c r="G1040" s="110"/>
      <c r="H1040" s="110"/>
      <c r="I1040" s="110"/>
      <c r="J1040" s="110"/>
      <c r="K1040" s="110"/>
      <c r="L1040" s="110"/>
      <c r="M1040" s="110"/>
      <c r="N1040" s="110"/>
      <c r="O1040" s="110"/>
      <c r="P1040" s="110"/>
      <c r="Q1040" s="110"/>
      <c r="R1040" s="110"/>
      <c r="S1040" s="110"/>
      <c r="T1040" s="110"/>
      <c r="U1040" s="110"/>
      <c r="V1040" s="110"/>
      <c r="W1040" s="110"/>
      <c r="X1040" s="110"/>
      <c r="Y1040" s="110"/>
      <c r="Z1040" s="110"/>
      <c r="AA1040" s="110"/>
      <c r="AB1040" s="110"/>
      <c r="AC1040" s="110"/>
      <c r="AD1040" s="110"/>
      <c r="AE1040" s="110"/>
      <c r="AF1040" s="110"/>
      <c r="AG1040" s="110"/>
      <c r="AH1040" s="110"/>
      <c r="AI1040" s="110"/>
      <c r="AJ1040" s="110"/>
      <c r="AK1040" s="110"/>
      <c r="AL1040" s="110"/>
    </row>
    <row r="1041" spans="1:38" ht="15.75" customHeight="1">
      <c r="A1041" s="110"/>
      <c r="B1041" s="110"/>
      <c r="C1041" s="110"/>
      <c r="D1041" s="110"/>
      <c r="E1041" s="110"/>
      <c r="F1041" s="110"/>
      <c r="G1041" s="110"/>
      <c r="H1041" s="110"/>
      <c r="I1041" s="110"/>
      <c r="J1041" s="110"/>
      <c r="K1041" s="110"/>
      <c r="L1041" s="110"/>
      <c r="M1041" s="110"/>
      <c r="N1041" s="110"/>
      <c r="O1041" s="110"/>
      <c r="P1041" s="110"/>
      <c r="Q1041" s="110"/>
      <c r="R1041" s="110"/>
      <c r="S1041" s="110"/>
      <c r="T1041" s="110"/>
      <c r="U1041" s="110"/>
      <c r="V1041" s="110"/>
      <c r="W1041" s="110"/>
      <c r="X1041" s="110"/>
      <c r="Y1041" s="110"/>
      <c r="Z1041" s="110"/>
      <c r="AA1041" s="110"/>
      <c r="AB1041" s="110"/>
      <c r="AC1041" s="110"/>
      <c r="AD1041" s="110"/>
      <c r="AE1041" s="110"/>
      <c r="AF1041" s="110"/>
      <c r="AG1041" s="110"/>
      <c r="AH1041" s="110"/>
      <c r="AI1041" s="110"/>
      <c r="AJ1041" s="110"/>
      <c r="AK1041" s="110"/>
      <c r="AL1041" s="110"/>
    </row>
    <row r="1042" spans="1:38" ht="15.75" customHeight="1">
      <c r="A1042" s="110"/>
      <c r="B1042" s="110"/>
      <c r="C1042" s="110"/>
      <c r="D1042" s="110"/>
      <c r="E1042" s="110"/>
      <c r="F1042" s="110"/>
      <c r="G1042" s="110"/>
      <c r="H1042" s="110"/>
      <c r="I1042" s="110"/>
      <c r="J1042" s="110"/>
      <c r="K1042" s="110"/>
      <c r="L1042" s="110"/>
      <c r="M1042" s="110"/>
      <c r="N1042" s="110"/>
      <c r="O1042" s="110"/>
      <c r="P1042" s="110"/>
      <c r="Q1042" s="110"/>
      <c r="R1042" s="110"/>
      <c r="S1042" s="110"/>
      <c r="T1042" s="110"/>
      <c r="U1042" s="110"/>
      <c r="V1042" s="110"/>
      <c r="W1042" s="110"/>
      <c r="X1042" s="110"/>
      <c r="Y1042" s="110"/>
      <c r="Z1042" s="110"/>
      <c r="AA1042" s="110"/>
      <c r="AB1042" s="110"/>
      <c r="AC1042" s="110"/>
      <c r="AD1042" s="110"/>
      <c r="AE1042" s="110"/>
      <c r="AF1042" s="110"/>
      <c r="AG1042" s="110"/>
      <c r="AH1042" s="110"/>
      <c r="AI1042" s="110"/>
      <c r="AJ1042" s="110"/>
      <c r="AK1042" s="110"/>
      <c r="AL1042" s="110"/>
    </row>
    <row r="1043" spans="1:38" ht="15.75" customHeight="1">
      <c r="A1043" s="110"/>
      <c r="B1043" s="110"/>
      <c r="C1043" s="110"/>
      <c r="D1043" s="110"/>
      <c r="E1043" s="110"/>
      <c r="F1043" s="110"/>
      <c r="G1043" s="110"/>
      <c r="H1043" s="110"/>
      <c r="I1043" s="110"/>
      <c r="J1043" s="110"/>
      <c r="K1043" s="110"/>
      <c r="L1043" s="110"/>
      <c r="M1043" s="110"/>
      <c r="N1043" s="110"/>
      <c r="O1043" s="110"/>
      <c r="P1043" s="110"/>
      <c r="Q1043" s="110"/>
      <c r="R1043" s="110"/>
      <c r="S1043" s="110"/>
      <c r="T1043" s="110"/>
      <c r="U1043" s="110"/>
      <c r="V1043" s="110"/>
      <c r="W1043" s="110"/>
      <c r="X1043" s="110"/>
      <c r="Y1043" s="110"/>
      <c r="Z1043" s="110"/>
      <c r="AA1043" s="110"/>
      <c r="AB1043" s="110"/>
      <c r="AC1043" s="110"/>
      <c r="AD1043" s="110"/>
      <c r="AE1043" s="110"/>
      <c r="AF1043" s="110"/>
      <c r="AG1043" s="110"/>
      <c r="AH1043" s="110"/>
      <c r="AI1043" s="110"/>
      <c r="AJ1043" s="110"/>
      <c r="AK1043" s="110"/>
      <c r="AL1043" s="110"/>
    </row>
    <row r="1044" spans="1:38" ht="15.75" customHeight="1">
      <c r="A1044" s="110"/>
      <c r="B1044" s="110"/>
      <c r="C1044" s="110"/>
      <c r="D1044" s="110"/>
      <c r="E1044" s="110"/>
      <c r="F1044" s="110"/>
      <c r="G1044" s="110"/>
      <c r="H1044" s="110"/>
      <c r="I1044" s="110"/>
      <c r="J1044" s="110"/>
      <c r="K1044" s="110"/>
      <c r="L1044" s="110"/>
      <c r="M1044" s="110"/>
      <c r="N1044" s="110"/>
      <c r="O1044" s="110"/>
      <c r="P1044" s="110"/>
      <c r="Q1044" s="110"/>
      <c r="R1044" s="110"/>
      <c r="S1044" s="110"/>
      <c r="T1044" s="110"/>
      <c r="U1044" s="110"/>
      <c r="V1044" s="110"/>
      <c r="W1044" s="110"/>
      <c r="X1044" s="110"/>
      <c r="Y1044" s="110"/>
      <c r="Z1044" s="110"/>
      <c r="AA1044" s="110"/>
      <c r="AB1044" s="110"/>
      <c r="AC1044" s="110"/>
      <c r="AD1044" s="110"/>
      <c r="AE1044" s="110"/>
      <c r="AF1044" s="110"/>
      <c r="AG1044" s="110"/>
      <c r="AH1044" s="110"/>
      <c r="AI1044" s="110"/>
      <c r="AJ1044" s="110"/>
      <c r="AK1044" s="110"/>
      <c r="AL1044" s="110"/>
    </row>
    <row r="1045" spans="1:38" ht="15.75" customHeight="1">
      <c r="A1045" s="110"/>
      <c r="B1045" s="110"/>
      <c r="C1045" s="110"/>
      <c r="D1045" s="110"/>
      <c r="E1045" s="110"/>
      <c r="F1045" s="110"/>
      <c r="G1045" s="110"/>
      <c r="H1045" s="110"/>
      <c r="I1045" s="110"/>
      <c r="J1045" s="110"/>
      <c r="K1045" s="110"/>
      <c r="L1045" s="110"/>
      <c r="M1045" s="110"/>
      <c r="N1045" s="110"/>
      <c r="O1045" s="110"/>
      <c r="P1045" s="110"/>
      <c r="Q1045" s="110"/>
      <c r="R1045" s="110"/>
      <c r="S1045" s="110"/>
      <c r="T1045" s="110"/>
      <c r="U1045" s="110"/>
      <c r="V1045" s="110"/>
      <c r="W1045" s="110"/>
      <c r="X1045" s="110"/>
      <c r="Y1045" s="110"/>
      <c r="Z1045" s="110"/>
      <c r="AA1045" s="110"/>
      <c r="AB1045" s="110"/>
      <c r="AC1045" s="110"/>
      <c r="AD1045" s="110"/>
      <c r="AE1045" s="110"/>
      <c r="AF1045" s="110"/>
      <c r="AG1045" s="110"/>
      <c r="AH1045" s="110"/>
      <c r="AI1045" s="110"/>
      <c r="AJ1045" s="110"/>
      <c r="AK1045" s="110"/>
      <c r="AL1045" s="110"/>
    </row>
    <row r="1046" spans="1:38" ht="15.75" customHeight="1">
      <c r="A1046" s="110"/>
      <c r="B1046" s="110"/>
      <c r="C1046" s="110"/>
      <c r="D1046" s="110"/>
      <c r="E1046" s="110"/>
      <c r="F1046" s="110"/>
      <c r="G1046" s="110"/>
      <c r="H1046" s="110"/>
      <c r="I1046" s="110"/>
      <c r="J1046" s="110"/>
      <c r="K1046" s="110"/>
      <c r="L1046" s="110"/>
      <c r="M1046" s="110"/>
      <c r="N1046" s="110"/>
      <c r="O1046" s="110"/>
      <c r="P1046" s="110"/>
      <c r="Q1046" s="110"/>
      <c r="R1046" s="110"/>
      <c r="S1046" s="110"/>
      <c r="T1046" s="110"/>
      <c r="U1046" s="110"/>
      <c r="V1046" s="110"/>
      <c r="W1046" s="110"/>
      <c r="X1046" s="110"/>
      <c r="Y1046" s="110"/>
      <c r="Z1046" s="110"/>
      <c r="AA1046" s="110"/>
      <c r="AB1046" s="110"/>
      <c r="AC1046" s="110"/>
      <c r="AD1046" s="110"/>
      <c r="AE1046" s="110"/>
      <c r="AF1046" s="110"/>
      <c r="AG1046" s="110"/>
      <c r="AH1046" s="110"/>
      <c r="AI1046" s="110"/>
      <c r="AJ1046" s="110"/>
      <c r="AK1046" s="110"/>
      <c r="AL1046" s="110"/>
    </row>
    <row r="1047" spans="1:38" ht="15.75" customHeight="1">
      <c r="A1047" s="110"/>
      <c r="B1047" s="110"/>
      <c r="C1047" s="110"/>
      <c r="D1047" s="110"/>
      <c r="E1047" s="110"/>
      <c r="F1047" s="110"/>
      <c r="G1047" s="110"/>
      <c r="H1047" s="110"/>
      <c r="I1047" s="110"/>
      <c r="J1047" s="110"/>
      <c r="K1047" s="110"/>
      <c r="L1047" s="110"/>
      <c r="M1047" s="110"/>
      <c r="N1047" s="110"/>
      <c r="O1047" s="110"/>
      <c r="P1047" s="110"/>
      <c r="Q1047" s="110"/>
      <c r="R1047" s="110"/>
      <c r="S1047" s="110"/>
      <c r="T1047" s="110"/>
      <c r="U1047" s="110"/>
      <c r="V1047" s="110"/>
      <c r="W1047" s="110"/>
      <c r="X1047" s="110"/>
      <c r="Y1047" s="110"/>
      <c r="Z1047" s="110"/>
      <c r="AA1047" s="110"/>
      <c r="AB1047" s="110"/>
      <c r="AC1047" s="110"/>
      <c r="AD1047" s="110"/>
      <c r="AE1047" s="110"/>
      <c r="AF1047" s="110"/>
      <c r="AG1047" s="110"/>
      <c r="AH1047" s="110"/>
      <c r="AI1047" s="110"/>
      <c r="AJ1047" s="110"/>
      <c r="AK1047" s="110"/>
      <c r="AL1047" s="110"/>
    </row>
    <row r="1048" spans="1:38" ht="15.75" customHeight="1">
      <c r="A1048" s="110"/>
      <c r="B1048" s="110"/>
      <c r="C1048" s="110"/>
      <c r="D1048" s="110"/>
      <c r="E1048" s="110"/>
      <c r="F1048" s="110"/>
      <c r="G1048" s="110"/>
      <c r="H1048" s="110"/>
      <c r="I1048" s="110"/>
      <c r="J1048" s="110"/>
      <c r="K1048" s="110"/>
      <c r="L1048" s="110"/>
      <c r="M1048" s="110"/>
      <c r="N1048" s="110"/>
      <c r="O1048" s="110"/>
      <c r="P1048" s="110"/>
      <c r="Q1048" s="110"/>
      <c r="R1048" s="110"/>
      <c r="S1048" s="110"/>
      <c r="T1048" s="110"/>
      <c r="U1048" s="110"/>
      <c r="V1048" s="110"/>
      <c r="W1048" s="110"/>
      <c r="X1048" s="110"/>
      <c r="Y1048" s="110"/>
      <c r="Z1048" s="110"/>
      <c r="AA1048" s="110"/>
      <c r="AB1048" s="110"/>
      <c r="AC1048" s="110"/>
      <c r="AD1048" s="110"/>
      <c r="AE1048" s="110"/>
      <c r="AF1048" s="110"/>
      <c r="AG1048" s="110"/>
      <c r="AH1048" s="110"/>
      <c r="AI1048" s="110"/>
      <c r="AJ1048" s="110"/>
      <c r="AK1048" s="110"/>
      <c r="AL1048" s="110"/>
    </row>
    <row r="1049" spans="1:38" ht="15.75" customHeight="1">
      <c r="A1049" s="110"/>
      <c r="B1049" s="110"/>
      <c r="C1049" s="110"/>
      <c r="D1049" s="110"/>
      <c r="E1049" s="110"/>
      <c r="F1049" s="110"/>
      <c r="G1049" s="110"/>
      <c r="H1049" s="110"/>
      <c r="I1049" s="110"/>
      <c r="J1049" s="110"/>
      <c r="K1049" s="110"/>
      <c r="L1049" s="110"/>
      <c r="M1049" s="110"/>
      <c r="N1049" s="110"/>
      <c r="O1049" s="110"/>
      <c r="P1049" s="110"/>
      <c r="Q1049" s="110"/>
      <c r="R1049" s="110"/>
      <c r="S1049" s="110"/>
      <c r="T1049" s="110"/>
      <c r="U1049" s="110"/>
      <c r="V1049" s="110"/>
      <c r="W1049" s="110"/>
      <c r="X1049" s="110"/>
      <c r="Y1049" s="110"/>
      <c r="Z1049" s="110"/>
      <c r="AA1049" s="110"/>
      <c r="AB1049" s="110"/>
      <c r="AC1049" s="110"/>
      <c r="AD1049" s="110"/>
      <c r="AE1049" s="110"/>
      <c r="AF1049" s="110"/>
      <c r="AG1049" s="110"/>
      <c r="AH1049" s="110"/>
      <c r="AI1049" s="110"/>
      <c r="AJ1049" s="110"/>
      <c r="AK1049" s="110"/>
      <c r="AL1049" s="110"/>
    </row>
    <row r="1050" spans="1:38" ht="15.75" customHeight="1">
      <c r="A1050" s="110"/>
      <c r="B1050" s="110"/>
      <c r="C1050" s="110"/>
      <c r="D1050" s="110"/>
      <c r="E1050" s="110"/>
      <c r="F1050" s="110"/>
      <c r="G1050" s="110"/>
      <c r="H1050" s="110"/>
      <c r="I1050" s="110"/>
      <c r="J1050" s="110"/>
      <c r="K1050" s="110"/>
      <c r="L1050" s="110"/>
      <c r="M1050" s="110"/>
      <c r="N1050" s="110"/>
      <c r="O1050" s="110"/>
      <c r="P1050" s="110"/>
      <c r="Q1050" s="110"/>
      <c r="R1050" s="110"/>
      <c r="S1050" s="110"/>
      <c r="T1050" s="110"/>
      <c r="U1050" s="110"/>
      <c r="V1050" s="110"/>
      <c r="W1050" s="110"/>
      <c r="X1050" s="110"/>
      <c r="Y1050" s="110"/>
      <c r="Z1050" s="110"/>
      <c r="AA1050" s="110"/>
      <c r="AB1050" s="110"/>
      <c r="AC1050" s="110"/>
      <c r="AD1050" s="110"/>
      <c r="AE1050" s="110"/>
      <c r="AF1050" s="110"/>
      <c r="AG1050" s="110"/>
      <c r="AH1050" s="110"/>
      <c r="AI1050" s="110"/>
      <c r="AJ1050" s="110"/>
      <c r="AK1050" s="110"/>
      <c r="AL1050" s="110"/>
    </row>
    <row r="1051" spans="1:38" ht="15.75" customHeight="1">
      <c r="A1051" s="110"/>
      <c r="B1051" s="110"/>
      <c r="C1051" s="110"/>
      <c r="D1051" s="110"/>
      <c r="E1051" s="110"/>
      <c r="F1051" s="110"/>
      <c r="G1051" s="110"/>
      <c r="H1051" s="110"/>
      <c r="I1051" s="110"/>
      <c r="J1051" s="110"/>
      <c r="K1051" s="110"/>
      <c r="L1051" s="110"/>
      <c r="M1051" s="110"/>
      <c r="N1051" s="110"/>
      <c r="O1051" s="110"/>
      <c r="P1051" s="110"/>
      <c r="Q1051" s="110"/>
      <c r="R1051" s="110"/>
      <c r="S1051" s="110"/>
      <c r="T1051" s="110"/>
      <c r="U1051" s="110"/>
      <c r="V1051" s="110"/>
      <c r="W1051" s="110"/>
      <c r="X1051" s="110"/>
      <c r="Y1051" s="110"/>
      <c r="Z1051" s="110"/>
      <c r="AA1051" s="110"/>
      <c r="AB1051" s="110"/>
      <c r="AC1051" s="110"/>
      <c r="AD1051" s="110"/>
      <c r="AE1051" s="110"/>
      <c r="AF1051" s="110"/>
      <c r="AG1051" s="110"/>
      <c r="AH1051" s="110"/>
      <c r="AI1051" s="110"/>
      <c r="AJ1051" s="110"/>
      <c r="AK1051" s="110"/>
      <c r="AL1051" s="110"/>
    </row>
    <row r="1052" spans="1:38" ht="15.75" customHeight="1">
      <c r="A1052" s="110"/>
      <c r="B1052" s="110"/>
      <c r="C1052" s="110"/>
      <c r="D1052" s="110"/>
      <c r="E1052" s="110"/>
      <c r="F1052" s="110"/>
      <c r="G1052" s="110"/>
      <c r="H1052" s="110"/>
      <c r="I1052" s="110"/>
      <c r="J1052" s="110"/>
      <c r="K1052" s="110"/>
      <c r="L1052" s="110"/>
      <c r="M1052" s="110"/>
      <c r="N1052" s="110"/>
      <c r="O1052" s="110"/>
      <c r="P1052" s="110"/>
      <c r="Q1052" s="110"/>
      <c r="R1052" s="110"/>
      <c r="S1052" s="110"/>
      <c r="T1052" s="110"/>
      <c r="U1052" s="110"/>
      <c r="V1052" s="110"/>
      <c r="W1052" s="110"/>
      <c r="X1052" s="110"/>
      <c r="Y1052" s="110"/>
      <c r="Z1052" s="110"/>
      <c r="AA1052" s="110"/>
      <c r="AB1052" s="110"/>
      <c r="AC1052" s="110"/>
      <c r="AD1052" s="110"/>
      <c r="AE1052" s="110"/>
      <c r="AF1052" s="110"/>
      <c r="AG1052" s="110"/>
      <c r="AH1052" s="110"/>
      <c r="AI1052" s="110"/>
      <c r="AJ1052" s="110"/>
      <c r="AK1052" s="110"/>
      <c r="AL1052" s="110"/>
    </row>
    <row r="1053" spans="1:38" ht="15.75" customHeight="1">
      <c r="A1053" s="110"/>
      <c r="B1053" s="110"/>
      <c r="C1053" s="110"/>
      <c r="D1053" s="110"/>
      <c r="E1053" s="110"/>
      <c r="F1053" s="110"/>
      <c r="G1053" s="110"/>
      <c r="H1053" s="110"/>
      <c r="I1053" s="110"/>
      <c r="J1053" s="110"/>
      <c r="K1053" s="110"/>
      <c r="L1053" s="110"/>
      <c r="M1053" s="110"/>
      <c r="N1053" s="110"/>
      <c r="O1053" s="110"/>
      <c r="P1053" s="110"/>
      <c r="Q1053" s="110"/>
      <c r="R1053" s="110"/>
      <c r="S1053" s="110"/>
      <c r="T1053" s="110"/>
      <c r="U1053" s="110"/>
      <c r="V1053" s="110"/>
      <c r="W1053" s="110"/>
      <c r="X1053" s="110"/>
      <c r="Y1053" s="110"/>
      <c r="Z1053" s="110"/>
      <c r="AA1053" s="110"/>
      <c r="AB1053" s="110"/>
      <c r="AC1053" s="110"/>
      <c r="AD1053" s="110"/>
      <c r="AE1053" s="110"/>
      <c r="AF1053" s="110"/>
      <c r="AG1053" s="110"/>
      <c r="AH1053" s="110"/>
      <c r="AI1053" s="110"/>
      <c r="AJ1053" s="110"/>
      <c r="AK1053" s="110"/>
      <c r="AL1053" s="110"/>
    </row>
    <row r="1054" spans="1:38" ht="15.75" customHeight="1">
      <c r="A1054" s="110"/>
      <c r="B1054" s="110"/>
      <c r="C1054" s="110"/>
      <c r="D1054" s="110"/>
      <c r="E1054" s="110"/>
      <c r="F1054" s="110"/>
      <c r="G1054" s="110"/>
      <c r="H1054" s="110"/>
      <c r="I1054" s="110"/>
      <c r="J1054" s="110"/>
      <c r="K1054" s="110"/>
      <c r="L1054" s="110"/>
      <c r="M1054" s="110"/>
      <c r="N1054" s="110"/>
      <c r="O1054" s="110"/>
      <c r="P1054" s="110"/>
      <c r="Q1054" s="110"/>
      <c r="R1054" s="110"/>
      <c r="S1054" s="110"/>
      <c r="T1054" s="110"/>
      <c r="U1054" s="110"/>
      <c r="V1054" s="110"/>
      <c r="W1054" s="110"/>
      <c r="X1054" s="110"/>
      <c r="Y1054" s="110"/>
      <c r="Z1054" s="110"/>
      <c r="AA1054" s="110"/>
      <c r="AB1054" s="110"/>
      <c r="AC1054" s="110"/>
      <c r="AD1054" s="110"/>
      <c r="AE1054" s="110"/>
      <c r="AF1054" s="110"/>
      <c r="AG1054" s="110"/>
      <c r="AH1054" s="110"/>
      <c r="AI1054" s="110"/>
      <c r="AJ1054" s="110"/>
      <c r="AK1054" s="110"/>
      <c r="AL1054" s="110"/>
    </row>
    <row r="1055" spans="1:38" ht="15.75" customHeight="1">
      <c r="A1055" s="110"/>
      <c r="B1055" s="110"/>
      <c r="C1055" s="110"/>
      <c r="D1055" s="110"/>
      <c r="E1055" s="110"/>
      <c r="F1055" s="110"/>
      <c r="G1055" s="110"/>
      <c r="H1055" s="110"/>
      <c r="I1055" s="110"/>
      <c r="J1055" s="110"/>
      <c r="K1055" s="110"/>
      <c r="L1055" s="110"/>
      <c r="M1055" s="110"/>
      <c r="N1055" s="110"/>
      <c r="O1055" s="110"/>
      <c r="P1055" s="110"/>
      <c r="Q1055" s="110"/>
      <c r="R1055" s="110"/>
      <c r="S1055" s="110"/>
      <c r="T1055" s="110"/>
      <c r="U1055" s="110"/>
      <c r="V1055" s="110"/>
      <c r="W1055" s="110"/>
      <c r="X1055" s="110"/>
      <c r="Y1055" s="110"/>
      <c r="Z1055" s="110"/>
      <c r="AA1055" s="110"/>
      <c r="AB1055" s="110"/>
      <c r="AC1055" s="110"/>
      <c r="AD1055" s="110"/>
      <c r="AE1055" s="110"/>
      <c r="AF1055" s="110"/>
      <c r="AG1055" s="110"/>
      <c r="AH1055" s="110"/>
      <c r="AI1055" s="110"/>
      <c r="AJ1055" s="110"/>
      <c r="AK1055" s="110"/>
      <c r="AL1055" s="110"/>
    </row>
    <row r="1056" spans="1:38" ht="15.75" customHeight="1">
      <c r="A1056" s="110"/>
      <c r="B1056" s="110"/>
      <c r="C1056" s="110"/>
      <c r="D1056" s="110"/>
      <c r="E1056" s="110"/>
      <c r="F1056" s="110"/>
      <c r="G1056" s="110"/>
      <c r="H1056" s="110"/>
      <c r="I1056" s="110"/>
      <c r="J1056" s="110"/>
      <c r="K1056" s="110"/>
      <c r="L1056" s="110"/>
      <c r="M1056" s="110"/>
      <c r="N1056" s="110"/>
      <c r="O1056" s="110"/>
      <c r="P1056" s="110"/>
      <c r="Q1056" s="110"/>
      <c r="R1056" s="110"/>
      <c r="S1056" s="110"/>
      <c r="T1056" s="110"/>
      <c r="U1056" s="110"/>
      <c r="V1056" s="110"/>
      <c r="W1056" s="110"/>
      <c r="X1056" s="110"/>
      <c r="Y1056" s="110"/>
      <c r="Z1056" s="110"/>
      <c r="AA1056" s="110"/>
      <c r="AB1056" s="110"/>
      <c r="AC1056" s="110"/>
      <c r="AD1056" s="110"/>
      <c r="AE1056" s="110"/>
      <c r="AF1056" s="110"/>
      <c r="AG1056" s="110"/>
      <c r="AH1056" s="110"/>
      <c r="AI1056" s="110"/>
      <c r="AJ1056" s="110"/>
      <c r="AK1056" s="110"/>
      <c r="AL1056" s="110"/>
    </row>
    <row r="1057" spans="1:38" ht="15.75" customHeight="1">
      <c r="A1057" s="110"/>
      <c r="B1057" s="110"/>
      <c r="C1057" s="110"/>
      <c r="D1057" s="110"/>
      <c r="E1057" s="110"/>
      <c r="F1057" s="110"/>
      <c r="G1057" s="110"/>
      <c r="H1057" s="110"/>
      <c r="I1057" s="110"/>
      <c r="J1057" s="110"/>
      <c r="K1057" s="110"/>
      <c r="L1057" s="110"/>
      <c r="M1057" s="110"/>
      <c r="N1057" s="110"/>
      <c r="O1057" s="110"/>
      <c r="P1057" s="110"/>
      <c r="Q1057" s="110"/>
      <c r="R1057" s="110"/>
      <c r="S1057" s="110"/>
      <c r="T1057" s="110"/>
      <c r="U1057" s="110"/>
      <c r="V1057" s="110"/>
      <c r="W1057" s="110"/>
      <c r="X1057" s="110"/>
      <c r="Y1057" s="110"/>
      <c r="Z1057" s="110"/>
      <c r="AA1057" s="110"/>
      <c r="AB1057" s="110"/>
      <c r="AC1057" s="110"/>
      <c r="AD1057" s="110"/>
      <c r="AE1057" s="110"/>
      <c r="AF1057" s="110"/>
      <c r="AG1057" s="110"/>
      <c r="AH1057" s="110"/>
      <c r="AI1057" s="110"/>
      <c r="AJ1057" s="110"/>
      <c r="AK1057" s="110"/>
      <c r="AL1057" s="110"/>
    </row>
    <row r="1058" spans="1:38" ht="15.75" customHeight="1">
      <c r="A1058" s="110"/>
      <c r="B1058" s="110"/>
      <c r="C1058" s="110"/>
      <c r="D1058" s="110"/>
      <c r="E1058" s="110"/>
      <c r="F1058" s="110"/>
      <c r="G1058" s="110"/>
      <c r="H1058" s="110"/>
      <c r="I1058" s="110"/>
      <c r="J1058" s="110"/>
      <c r="K1058" s="110"/>
      <c r="L1058" s="110"/>
      <c r="M1058" s="110"/>
      <c r="N1058" s="110"/>
      <c r="O1058" s="110"/>
      <c r="P1058" s="110"/>
      <c r="Q1058" s="110"/>
      <c r="R1058" s="110"/>
      <c r="S1058" s="110"/>
      <c r="T1058" s="110"/>
      <c r="U1058" s="110"/>
      <c r="V1058" s="110"/>
      <c r="W1058" s="110"/>
      <c r="X1058" s="110"/>
      <c r="Y1058" s="110"/>
      <c r="Z1058" s="110"/>
      <c r="AA1058" s="110"/>
      <c r="AB1058" s="110"/>
      <c r="AC1058" s="110"/>
      <c r="AD1058" s="110"/>
      <c r="AE1058" s="110"/>
      <c r="AF1058" s="110"/>
      <c r="AG1058" s="110"/>
      <c r="AH1058" s="110"/>
      <c r="AI1058" s="110"/>
      <c r="AJ1058" s="110"/>
      <c r="AK1058" s="110"/>
      <c r="AL1058" s="110"/>
    </row>
    <row r="1059" spans="1:38" ht="15.75" customHeight="1">
      <c r="A1059" s="110"/>
      <c r="B1059" s="110"/>
      <c r="C1059" s="110"/>
      <c r="D1059" s="110"/>
      <c r="E1059" s="110"/>
      <c r="F1059" s="110"/>
      <c r="G1059" s="110"/>
      <c r="H1059" s="110"/>
      <c r="I1059" s="110"/>
      <c r="J1059" s="110"/>
      <c r="K1059" s="110"/>
      <c r="L1059" s="110"/>
      <c r="M1059" s="110"/>
      <c r="N1059" s="110"/>
      <c r="O1059" s="110"/>
      <c r="P1059" s="110"/>
      <c r="Q1059" s="110"/>
      <c r="R1059" s="110"/>
      <c r="S1059" s="110"/>
      <c r="T1059" s="110"/>
      <c r="U1059" s="110"/>
      <c r="V1059" s="110"/>
      <c r="W1059" s="110"/>
      <c r="X1059" s="110"/>
      <c r="Y1059" s="110"/>
      <c r="Z1059" s="110"/>
      <c r="AA1059" s="110"/>
      <c r="AB1059" s="110"/>
      <c r="AC1059" s="110"/>
      <c r="AD1059" s="110"/>
      <c r="AE1059" s="110"/>
      <c r="AF1059" s="110"/>
      <c r="AG1059" s="110"/>
      <c r="AH1059" s="110"/>
      <c r="AI1059" s="110"/>
      <c r="AJ1059" s="110"/>
      <c r="AK1059" s="110"/>
      <c r="AL1059" s="110"/>
    </row>
    <row r="1060" spans="1:38" ht="15.75" customHeight="1">
      <c r="A1060" s="110"/>
      <c r="B1060" s="110"/>
      <c r="C1060" s="110"/>
      <c r="D1060" s="110"/>
      <c r="E1060" s="110"/>
      <c r="F1060" s="110"/>
      <c r="G1060" s="110"/>
      <c r="H1060" s="110"/>
      <c r="I1060" s="110"/>
      <c r="J1060" s="110"/>
      <c r="K1060" s="110"/>
      <c r="L1060" s="110"/>
      <c r="M1060" s="110"/>
      <c r="N1060" s="110"/>
      <c r="O1060" s="110"/>
      <c r="P1060" s="110"/>
      <c r="Q1060" s="110"/>
      <c r="R1060" s="110"/>
      <c r="S1060" s="110"/>
      <c r="T1060" s="110"/>
      <c r="U1060" s="110"/>
      <c r="V1060" s="110"/>
      <c r="W1060" s="110"/>
      <c r="X1060" s="110"/>
      <c r="Y1060" s="110"/>
      <c r="Z1060" s="110"/>
      <c r="AA1060" s="110"/>
      <c r="AB1060" s="110"/>
      <c r="AC1060" s="110"/>
      <c r="AD1060" s="110"/>
      <c r="AE1060" s="110"/>
      <c r="AF1060" s="110"/>
      <c r="AG1060" s="110"/>
      <c r="AH1060" s="110"/>
      <c r="AI1060" s="110"/>
      <c r="AJ1060" s="110"/>
      <c r="AK1060" s="110"/>
      <c r="AL1060" s="110"/>
    </row>
    <row r="1061" spans="1:38" ht="15.75" customHeight="1">
      <c r="A1061" s="110"/>
      <c r="B1061" s="110"/>
      <c r="C1061" s="110"/>
      <c r="D1061" s="110"/>
      <c r="E1061" s="110"/>
      <c r="F1061" s="110"/>
      <c r="G1061" s="110"/>
      <c r="H1061" s="110"/>
      <c r="I1061" s="110"/>
      <c r="J1061" s="110"/>
      <c r="K1061" s="110"/>
      <c r="L1061" s="110"/>
      <c r="M1061" s="110"/>
      <c r="N1061" s="110"/>
      <c r="O1061" s="110"/>
      <c r="P1061" s="110"/>
      <c r="Q1061" s="110"/>
      <c r="R1061" s="110"/>
      <c r="S1061" s="110"/>
      <c r="T1061" s="110"/>
      <c r="U1061" s="110"/>
      <c r="V1061" s="110"/>
      <c r="W1061" s="110"/>
      <c r="X1061" s="110"/>
      <c r="Y1061" s="110"/>
      <c r="Z1061" s="110"/>
      <c r="AA1061" s="110"/>
      <c r="AB1061" s="110"/>
      <c r="AC1061" s="110"/>
      <c r="AD1061" s="110"/>
      <c r="AE1061" s="110"/>
      <c r="AF1061" s="110"/>
      <c r="AG1061" s="110"/>
      <c r="AH1061" s="110"/>
      <c r="AI1061" s="110"/>
      <c r="AJ1061" s="110"/>
      <c r="AK1061" s="110"/>
      <c r="AL1061" s="110"/>
    </row>
    <row r="1062" spans="1:38" ht="15.75" customHeight="1">
      <c r="A1062" s="110"/>
      <c r="B1062" s="110"/>
      <c r="C1062" s="110"/>
      <c r="D1062" s="110"/>
      <c r="E1062" s="110"/>
      <c r="F1062" s="110"/>
      <c r="G1062" s="110"/>
      <c r="H1062" s="110"/>
      <c r="I1062" s="110"/>
      <c r="J1062" s="110"/>
      <c r="K1062" s="110"/>
      <c r="L1062" s="110"/>
      <c r="M1062" s="110"/>
      <c r="N1062" s="110"/>
      <c r="O1062" s="110"/>
      <c r="P1062" s="110"/>
      <c r="Q1062" s="110"/>
      <c r="R1062" s="110"/>
      <c r="S1062" s="110"/>
      <c r="T1062" s="110"/>
      <c r="U1062" s="110"/>
      <c r="V1062" s="110"/>
      <c r="W1062" s="110"/>
      <c r="X1062" s="110"/>
      <c r="Y1062" s="110"/>
      <c r="Z1062" s="110"/>
      <c r="AA1062" s="110"/>
      <c r="AB1062" s="110"/>
      <c r="AC1062" s="110"/>
      <c r="AD1062" s="110"/>
      <c r="AE1062" s="110"/>
      <c r="AF1062" s="110"/>
      <c r="AG1062" s="110"/>
      <c r="AH1062" s="110"/>
      <c r="AI1062" s="110"/>
      <c r="AJ1062" s="110"/>
      <c r="AK1062" s="110"/>
      <c r="AL1062" s="110"/>
    </row>
    <row r="1063" spans="1:38" ht="15.75" customHeight="1">
      <c r="A1063" s="110"/>
      <c r="B1063" s="110"/>
      <c r="C1063" s="110"/>
      <c r="D1063" s="110"/>
      <c r="E1063" s="110"/>
      <c r="F1063" s="110"/>
      <c r="G1063" s="110"/>
      <c r="H1063" s="110"/>
      <c r="I1063" s="110"/>
      <c r="J1063" s="110"/>
      <c r="K1063" s="110"/>
      <c r="L1063" s="110"/>
      <c r="M1063" s="110"/>
      <c r="N1063" s="110"/>
      <c r="O1063" s="110"/>
      <c r="P1063" s="110"/>
      <c r="Q1063" s="110"/>
      <c r="R1063" s="110"/>
      <c r="S1063" s="110"/>
      <c r="T1063" s="110"/>
      <c r="U1063" s="110"/>
      <c r="V1063" s="110"/>
      <c r="W1063" s="110"/>
      <c r="X1063" s="110"/>
      <c r="Y1063" s="110"/>
      <c r="Z1063" s="110"/>
      <c r="AA1063" s="110"/>
      <c r="AB1063" s="110"/>
      <c r="AC1063" s="110"/>
      <c r="AD1063" s="110"/>
      <c r="AE1063" s="110"/>
      <c r="AF1063" s="110"/>
      <c r="AG1063" s="110"/>
      <c r="AH1063" s="110"/>
      <c r="AI1063" s="110"/>
      <c r="AJ1063" s="110"/>
      <c r="AK1063" s="110"/>
      <c r="AL1063" s="110"/>
    </row>
    <row r="1064" spans="1:38" ht="15.75" customHeight="1">
      <c r="A1064" s="110"/>
      <c r="B1064" s="110"/>
      <c r="C1064" s="110"/>
      <c r="D1064" s="110"/>
      <c r="E1064" s="110"/>
      <c r="F1064" s="110"/>
      <c r="G1064" s="110"/>
      <c r="H1064" s="110"/>
      <c r="I1064" s="110"/>
      <c r="J1064" s="110"/>
      <c r="K1064" s="110"/>
      <c r="L1064" s="110"/>
      <c r="M1064" s="110"/>
      <c r="N1064" s="110"/>
      <c r="O1064" s="110"/>
      <c r="P1064" s="110"/>
      <c r="Q1064" s="110"/>
      <c r="R1064" s="110"/>
      <c r="S1064" s="110"/>
      <c r="T1064" s="110"/>
      <c r="U1064" s="110"/>
      <c r="V1064" s="110"/>
      <c r="W1064" s="110"/>
      <c r="X1064" s="110"/>
      <c r="Y1064" s="110"/>
      <c r="Z1064" s="110"/>
      <c r="AA1064" s="110"/>
      <c r="AB1064" s="110"/>
      <c r="AC1064" s="110"/>
      <c r="AD1064" s="110"/>
      <c r="AE1064" s="110"/>
      <c r="AF1064" s="110"/>
      <c r="AG1064" s="110"/>
      <c r="AH1064" s="110"/>
      <c r="AI1064" s="110"/>
      <c r="AJ1064" s="110"/>
      <c r="AK1064" s="110"/>
      <c r="AL1064" s="110"/>
    </row>
    <row r="1065" spans="1:38" ht="15.75" customHeight="1">
      <c r="A1065" s="110"/>
      <c r="B1065" s="110"/>
      <c r="C1065" s="110"/>
      <c r="D1065" s="110"/>
      <c r="E1065" s="110"/>
      <c r="F1065" s="110"/>
      <c r="G1065" s="110"/>
      <c r="H1065" s="110"/>
      <c r="I1065" s="110"/>
      <c r="J1065" s="110"/>
      <c r="K1065" s="110"/>
      <c r="L1065" s="110"/>
      <c r="M1065" s="110"/>
      <c r="N1065" s="110"/>
      <c r="O1065" s="110"/>
      <c r="P1065" s="110"/>
      <c r="Q1065" s="110"/>
      <c r="R1065" s="110"/>
      <c r="S1065" s="110"/>
      <c r="T1065" s="110"/>
      <c r="U1065" s="110"/>
      <c r="V1065" s="110"/>
      <c r="W1065" s="110"/>
      <c r="X1065" s="110"/>
      <c r="Y1065" s="110"/>
      <c r="Z1065" s="110"/>
      <c r="AA1065" s="110"/>
      <c r="AB1065" s="110"/>
      <c r="AC1065" s="110"/>
      <c r="AD1065" s="110"/>
      <c r="AE1065" s="110"/>
      <c r="AF1065" s="110"/>
      <c r="AG1065" s="110"/>
      <c r="AH1065" s="110"/>
      <c r="AI1065" s="110"/>
      <c r="AJ1065" s="110"/>
      <c r="AK1065" s="110"/>
      <c r="AL1065" s="110"/>
    </row>
    <row r="1066" spans="1:38" ht="15.75" customHeight="1">
      <c r="A1066" s="110"/>
      <c r="B1066" s="110"/>
      <c r="C1066" s="110"/>
      <c r="D1066" s="110"/>
      <c r="E1066" s="110"/>
      <c r="F1066" s="110"/>
      <c r="G1066" s="110"/>
      <c r="H1066" s="110"/>
      <c r="I1066" s="110"/>
      <c r="J1066" s="110"/>
      <c r="K1066" s="110"/>
      <c r="L1066" s="110"/>
      <c r="M1066" s="110"/>
      <c r="N1066" s="110"/>
      <c r="O1066" s="110"/>
      <c r="P1066" s="110"/>
      <c r="Q1066" s="110"/>
      <c r="R1066" s="110"/>
      <c r="S1066" s="110"/>
      <c r="T1066" s="110"/>
      <c r="U1066" s="110"/>
      <c r="V1066" s="110"/>
      <c r="W1066" s="110"/>
      <c r="X1066" s="110"/>
      <c r="Y1066" s="110"/>
      <c r="Z1066" s="110"/>
      <c r="AA1066" s="110"/>
      <c r="AB1066" s="110"/>
      <c r="AC1066" s="110"/>
      <c r="AD1066" s="110"/>
      <c r="AE1066" s="110"/>
      <c r="AF1066" s="110"/>
      <c r="AG1066" s="110"/>
      <c r="AH1066" s="110"/>
      <c r="AI1066" s="110"/>
      <c r="AJ1066" s="110"/>
      <c r="AK1066" s="110"/>
      <c r="AL1066" s="110"/>
    </row>
    <row r="1067" spans="1:38" ht="15.75" customHeight="1">
      <c r="A1067" s="110"/>
      <c r="B1067" s="110"/>
      <c r="C1067" s="110"/>
      <c r="D1067" s="110"/>
      <c r="E1067" s="110"/>
      <c r="F1067" s="110"/>
      <c r="G1067" s="110"/>
      <c r="H1067" s="110"/>
      <c r="I1067" s="110"/>
      <c r="J1067" s="110"/>
      <c r="K1067" s="110"/>
      <c r="L1067" s="110"/>
      <c r="M1067" s="110"/>
      <c r="N1067" s="110"/>
      <c r="O1067" s="110"/>
      <c r="P1067" s="110"/>
      <c r="Q1067" s="110"/>
      <c r="R1067" s="110"/>
      <c r="S1067" s="110"/>
      <c r="T1067" s="110"/>
      <c r="U1067" s="110"/>
      <c r="V1067" s="110"/>
      <c r="W1067" s="110"/>
      <c r="X1067" s="110"/>
      <c r="Y1067" s="110"/>
      <c r="Z1067" s="110"/>
      <c r="AA1067" s="110"/>
      <c r="AB1067" s="110"/>
      <c r="AC1067" s="110"/>
      <c r="AD1067" s="110"/>
      <c r="AE1067" s="110"/>
      <c r="AF1067" s="110"/>
      <c r="AG1067" s="110"/>
      <c r="AH1067" s="110"/>
      <c r="AI1067" s="110"/>
      <c r="AJ1067" s="110"/>
      <c r="AK1067" s="110"/>
      <c r="AL1067" s="110"/>
    </row>
    <row r="1068" spans="1:38" ht="15.75" customHeight="1">
      <c r="A1068" s="110"/>
      <c r="B1068" s="110"/>
      <c r="C1068" s="110"/>
      <c r="D1068" s="110"/>
      <c r="E1068" s="110"/>
      <c r="F1068" s="110"/>
      <c r="G1068" s="110"/>
      <c r="H1068" s="110"/>
      <c r="I1068" s="110"/>
      <c r="J1068" s="110"/>
      <c r="K1068" s="110"/>
      <c r="L1068" s="110"/>
      <c r="M1068" s="110"/>
      <c r="N1068" s="110"/>
      <c r="O1068" s="110"/>
      <c r="P1068" s="110"/>
      <c r="Q1068" s="110"/>
      <c r="R1068" s="110"/>
      <c r="S1068" s="110"/>
      <c r="T1068" s="110"/>
      <c r="U1068" s="110"/>
      <c r="V1068" s="110"/>
      <c r="W1068" s="110"/>
      <c r="X1068" s="110"/>
      <c r="Y1068" s="110"/>
      <c r="Z1068" s="110"/>
      <c r="AA1068" s="110"/>
      <c r="AB1068" s="110"/>
      <c r="AC1068" s="110"/>
      <c r="AD1068" s="110"/>
      <c r="AE1068" s="110"/>
      <c r="AF1068" s="110"/>
      <c r="AG1068" s="110"/>
      <c r="AH1068" s="110"/>
      <c r="AI1068" s="110"/>
      <c r="AJ1068" s="110"/>
      <c r="AK1068" s="110"/>
      <c r="AL1068" s="110"/>
    </row>
    <row r="1069" spans="1:38" ht="15.75" customHeight="1">
      <c r="A1069" s="110"/>
      <c r="B1069" s="110"/>
      <c r="C1069" s="110"/>
      <c r="D1069" s="110"/>
      <c r="E1069" s="110"/>
      <c r="F1069" s="110"/>
      <c r="G1069" s="110"/>
      <c r="H1069" s="110"/>
      <c r="I1069" s="110"/>
      <c r="J1069" s="110"/>
      <c r="K1069" s="110"/>
      <c r="L1069" s="110"/>
      <c r="M1069" s="110"/>
      <c r="N1069" s="110"/>
      <c r="O1069" s="110"/>
      <c r="P1069" s="110"/>
      <c r="Q1069" s="110"/>
      <c r="R1069" s="110"/>
      <c r="S1069" s="110"/>
      <c r="T1069" s="110"/>
      <c r="U1069" s="110"/>
      <c r="V1069" s="110"/>
      <c r="W1069" s="110"/>
      <c r="X1069" s="110"/>
      <c r="Y1069" s="110"/>
      <c r="Z1069" s="110"/>
      <c r="AA1069" s="110"/>
      <c r="AB1069" s="110"/>
      <c r="AC1069" s="110"/>
      <c r="AD1069" s="110"/>
      <c r="AE1069" s="110"/>
      <c r="AF1069" s="110"/>
      <c r="AG1069" s="110"/>
      <c r="AH1069" s="110"/>
      <c r="AI1069" s="110"/>
      <c r="AJ1069" s="110"/>
      <c r="AK1069" s="110"/>
      <c r="AL1069" s="110"/>
    </row>
    <row r="1070" spans="1:38" ht="15.75" customHeight="1">
      <c r="A1070" s="110"/>
      <c r="B1070" s="110"/>
      <c r="C1070" s="110"/>
      <c r="D1070" s="110"/>
      <c r="E1070" s="110"/>
      <c r="F1070" s="110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0"/>
      <c r="V1070" s="110"/>
      <c r="W1070" s="110"/>
      <c r="X1070" s="110"/>
      <c r="Y1070" s="110"/>
      <c r="Z1070" s="110"/>
      <c r="AA1070" s="110"/>
      <c r="AB1070" s="110"/>
      <c r="AC1070" s="110"/>
      <c r="AD1070" s="110"/>
      <c r="AE1070" s="110"/>
      <c r="AF1070" s="110"/>
      <c r="AG1070" s="110"/>
      <c r="AH1070" s="110"/>
      <c r="AI1070" s="110"/>
      <c r="AJ1070" s="110"/>
      <c r="AK1070" s="110"/>
      <c r="AL1070" s="110"/>
    </row>
    <row r="1071" spans="1:38" ht="15.75" customHeight="1">
      <c r="A1071" s="110"/>
      <c r="B1071" s="110"/>
      <c r="C1071" s="110"/>
      <c r="D1071" s="110"/>
      <c r="E1071" s="110"/>
      <c r="F1071" s="110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0"/>
      <c r="V1071" s="110"/>
      <c r="W1071" s="110"/>
      <c r="X1071" s="110"/>
      <c r="Y1071" s="110"/>
      <c r="Z1071" s="110"/>
      <c r="AA1071" s="110"/>
      <c r="AB1071" s="110"/>
      <c r="AC1071" s="110"/>
      <c r="AD1071" s="110"/>
      <c r="AE1071" s="110"/>
      <c r="AF1071" s="110"/>
      <c r="AG1071" s="110"/>
      <c r="AH1071" s="110"/>
      <c r="AI1071" s="110"/>
      <c r="AJ1071" s="110"/>
      <c r="AK1071" s="110"/>
      <c r="AL1071" s="110"/>
    </row>
    <row r="1072" spans="1:38" ht="15.75" customHeight="1">
      <c r="A1072" s="110"/>
      <c r="B1072" s="110"/>
      <c r="C1072" s="110"/>
      <c r="D1072" s="110"/>
      <c r="E1072" s="110"/>
      <c r="F1072" s="110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0"/>
      <c r="V1072" s="110"/>
      <c r="W1072" s="110"/>
      <c r="X1072" s="110"/>
      <c r="Y1072" s="110"/>
      <c r="Z1072" s="110"/>
      <c r="AA1072" s="110"/>
      <c r="AB1072" s="110"/>
      <c r="AC1072" s="110"/>
      <c r="AD1072" s="110"/>
      <c r="AE1072" s="110"/>
      <c r="AF1072" s="110"/>
      <c r="AG1072" s="110"/>
      <c r="AH1072" s="110"/>
      <c r="AI1072" s="110"/>
      <c r="AJ1072" s="110"/>
      <c r="AK1072" s="110"/>
      <c r="AL1072" s="110"/>
    </row>
    <row r="1073" spans="1:38" ht="15.75" customHeight="1">
      <c r="A1073" s="110"/>
      <c r="B1073" s="110"/>
      <c r="C1073" s="110"/>
      <c r="D1073" s="110"/>
      <c r="E1073" s="110"/>
      <c r="F1073" s="110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0"/>
      <c r="V1073" s="110"/>
      <c r="W1073" s="110"/>
      <c r="X1073" s="110"/>
      <c r="Y1073" s="110"/>
      <c r="Z1073" s="110"/>
      <c r="AA1073" s="110"/>
      <c r="AB1073" s="110"/>
      <c r="AC1073" s="110"/>
      <c r="AD1073" s="110"/>
      <c r="AE1073" s="110"/>
      <c r="AF1073" s="110"/>
      <c r="AG1073" s="110"/>
      <c r="AH1073" s="110"/>
      <c r="AI1073" s="110"/>
      <c r="AJ1073" s="110"/>
      <c r="AK1073" s="110"/>
      <c r="AL1073" s="110"/>
    </row>
    <row r="1074" spans="1:38" ht="15.75" customHeight="1">
      <c r="A1074" s="110"/>
      <c r="B1074" s="110"/>
      <c r="C1074" s="110"/>
      <c r="D1074" s="110"/>
      <c r="E1074" s="110"/>
      <c r="F1074" s="110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0"/>
      <c r="V1074" s="110"/>
      <c r="W1074" s="110"/>
      <c r="X1074" s="110"/>
      <c r="Y1074" s="110"/>
      <c r="Z1074" s="110"/>
      <c r="AA1074" s="110"/>
      <c r="AB1074" s="110"/>
      <c r="AC1074" s="110"/>
      <c r="AD1074" s="110"/>
      <c r="AE1074" s="110"/>
      <c r="AF1074" s="110"/>
      <c r="AG1074" s="110"/>
      <c r="AH1074" s="110"/>
      <c r="AI1074" s="110"/>
      <c r="AJ1074" s="110"/>
      <c r="AK1074" s="110"/>
      <c r="AL1074" s="110"/>
    </row>
    <row r="1075" spans="1:38" ht="15.75" customHeight="1">
      <c r="A1075" s="110"/>
      <c r="B1075" s="110"/>
      <c r="C1075" s="110"/>
      <c r="D1075" s="110"/>
      <c r="E1075" s="110"/>
      <c r="F1075" s="110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0"/>
      <c r="V1075" s="110"/>
      <c r="W1075" s="110"/>
      <c r="X1075" s="110"/>
      <c r="Y1075" s="110"/>
      <c r="Z1075" s="110"/>
      <c r="AA1075" s="110"/>
      <c r="AB1075" s="110"/>
      <c r="AC1075" s="110"/>
      <c r="AD1075" s="110"/>
      <c r="AE1075" s="110"/>
      <c r="AF1075" s="110"/>
      <c r="AG1075" s="110"/>
      <c r="AH1075" s="110"/>
      <c r="AI1075" s="110"/>
      <c r="AJ1075" s="110"/>
      <c r="AK1075" s="110"/>
      <c r="AL1075" s="110"/>
    </row>
    <row r="1076" spans="1:38" ht="15.75" customHeight="1">
      <c r="A1076" s="110"/>
      <c r="B1076" s="110"/>
      <c r="C1076" s="110"/>
      <c r="D1076" s="110"/>
      <c r="E1076" s="110"/>
      <c r="F1076" s="110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0"/>
      <c r="V1076" s="110"/>
      <c r="W1076" s="110"/>
      <c r="X1076" s="110"/>
      <c r="Y1076" s="110"/>
      <c r="Z1076" s="110"/>
      <c r="AA1076" s="110"/>
      <c r="AB1076" s="110"/>
      <c r="AC1076" s="110"/>
      <c r="AD1076" s="110"/>
      <c r="AE1076" s="110"/>
      <c r="AF1076" s="110"/>
      <c r="AG1076" s="110"/>
      <c r="AH1076" s="110"/>
      <c r="AI1076" s="110"/>
      <c r="AJ1076" s="110"/>
      <c r="AK1076" s="110"/>
      <c r="AL1076" s="110"/>
    </row>
    <row r="1077" spans="1:38" ht="15.75" customHeight="1">
      <c r="A1077" s="110"/>
      <c r="B1077" s="110"/>
      <c r="C1077" s="110"/>
      <c r="D1077" s="110"/>
      <c r="E1077" s="110"/>
      <c r="F1077" s="110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0"/>
      <c r="V1077" s="110"/>
      <c r="W1077" s="110"/>
      <c r="X1077" s="110"/>
      <c r="Y1077" s="110"/>
      <c r="Z1077" s="110"/>
      <c r="AA1077" s="110"/>
      <c r="AB1077" s="110"/>
      <c r="AC1077" s="110"/>
      <c r="AD1077" s="110"/>
      <c r="AE1077" s="110"/>
      <c r="AF1077" s="110"/>
      <c r="AG1077" s="110"/>
      <c r="AH1077" s="110"/>
      <c r="AI1077" s="110"/>
      <c r="AJ1077" s="110"/>
      <c r="AK1077" s="110"/>
      <c r="AL1077" s="110"/>
    </row>
    <row r="1078" spans="1:38" ht="15.75" customHeight="1">
      <c r="A1078" s="110"/>
      <c r="B1078" s="110"/>
      <c r="C1078" s="110"/>
      <c r="D1078" s="110"/>
      <c r="E1078" s="110"/>
      <c r="F1078" s="110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0"/>
      <c r="V1078" s="110"/>
      <c r="W1078" s="110"/>
      <c r="X1078" s="110"/>
      <c r="Y1078" s="110"/>
      <c r="Z1078" s="110"/>
      <c r="AA1078" s="110"/>
      <c r="AB1078" s="110"/>
      <c r="AC1078" s="110"/>
      <c r="AD1078" s="110"/>
      <c r="AE1078" s="110"/>
      <c r="AF1078" s="110"/>
      <c r="AG1078" s="110"/>
      <c r="AH1078" s="110"/>
      <c r="AI1078" s="110"/>
      <c r="AJ1078" s="110"/>
      <c r="AK1078" s="110"/>
      <c r="AL1078" s="110"/>
    </row>
    <row r="1079" spans="1:38" ht="15.75" customHeight="1">
      <c r="A1079" s="110"/>
      <c r="B1079" s="110"/>
      <c r="C1079" s="110"/>
      <c r="D1079" s="110"/>
      <c r="E1079" s="110"/>
      <c r="F1079" s="110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0"/>
      <c r="V1079" s="110"/>
      <c r="W1079" s="110"/>
      <c r="X1079" s="110"/>
      <c r="Y1079" s="110"/>
      <c r="Z1079" s="110"/>
      <c r="AA1079" s="110"/>
      <c r="AB1079" s="110"/>
      <c r="AC1079" s="110"/>
      <c r="AD1079" s="110"/>
      <c r="AE1079" s="110"/>
      <c r="AF1079" s="110"/>
      <c r="AG1079" s="110"/>
      <c r="AH1079" s="110"/>
      <c r="AI1079" s="110"/>
      <c r="AJ1079" s="110"/>
      <c r="AK1079" s="110"/>
      <c r="AL1079" s="110"/>
    </row>
    <row r="1080" spans="1:38" ht="15.75" customHeight="1">
      <c r="A1080" s="110"/>
      <c r="B1080" s="110"/>
      <c r="C1080" s="110"/>
      <c r="D1080" s="110"/>
      <c r="E1080" s="110"/>
      <c r="F1080" s="110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0"/>
      <c r="V1080" s="110"/>
      <c r="W1080" s="110"/>
      <c r="X1080" s="110"/>
      <c r="Y1080" s="110"/>
      <c r="Z1080" s="110"/>
      <c r="AA1080" s="110"/>
      <c r="AB1080" s="110"/>
      <c r="AC1080" s="110"/>
      <c r="AD1080" s="110"/>
      <c r="AE1080" s="110"/>
      <c r="AF1080" s="110"/>
      <c r="AG1080" s="110"/>
      <c r="AH1080" s="110"/>
      <c r="AI1080" s="110"/>
      <c r="AJ1080" s="110"/>
      <c r="AK1080" s="110"/>
      <c r="AL1080" s="110"/>
    </row>
    <row r="1081" spans="1:38" ht="15.75" customHeight="1">
      <c r="A1081" s="110"/>
      <c r="B1081" s="110"/>
      <c r="C1081" s="110"/>
      <c r="D1081" s="110"/>
      <c r="E1081" s="110"/>
      <c r="F1081" s="110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0"/>
      <c r="V1081" s="110"/>
      <c r="W1081" s="110"/>
      <c r="X1081" s="110"/>
      <c r="Y1081" s="110"/>
      <c r="Z1081" s="110"/>
      <c r="AA1081" s="110"/>
      <c r="AB1081" s="110"/>
      <c r="AC1081" s="110"/>
      <c r="AD1081" s="110"/>
      <c r="AE1081" s="110"/>
      <c r="AF1081" s="110"/>
      <c r="AG1081" s="110"/>
      <c r="AH1081" s="110"/>
      <c r="AI1081" s="110"/>
      <c r="AJ1081" s="110"/>
      <c r="AK1081" s="110"/>
      <c r="AL1081" s="110"/>
    </row>
    <row r="1082" spans="1:38" ht="15.75" customHeight="1">
      <c r="A1082" s="110"/>
      <c r="B1082" s="110"/>
      <c r="C1082" s="110"/>
      <c r="D1082" s="110"/>
      <c r="E1082" s="110"/>
      <c r="F1082" s="110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0"/>
      <c r="V1082" s="110"/>
      <c r="W1082" s="110"/>
      <c r="X1082" s="110"/>
      <c r="Y1082" s="110"/>
      <c r="Z1082" s="110"/>
      <c r="AA1082" s="110"/>
      <c r="AB1082" s="110"/>
      <c r="AC1082" s="110"/>
      <c r="AD1082" s="110"/>
      <c r="AE1082" s="110"/>
      <c r="AF1082" s="110"/>
      <c r="AG1082" s="110"/>
      <c r="AH1082" s="110"/>
      <c r="AI1082" s="110"/>
      <c r="AJ1082" s="110"/>
      <c r="AK1082" s="110"/>
      <c r="AL1082" s="110"/>
    </row>
    <row r="1083" spans="1:38" ht="15.75" customHeight="1">
      <c r="A1083" s="110"/>
      <c r="B1083" s="110"/>
      <c r="C1083" s="110"/>
      <c r="D1083" s="110"/>
      <c r="E1083" s="110"/>
      <c r="F1083" s="110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0"/>
      <c r="V1083" s="110"/>
      <c r="W1083" s="110"/>
      <c r="X1083" s="110"/>
      <c r="Y1083" s="110"/>
      <c r="Z1083" s="110"/>
      <c r="AA1083" s="110"/>
      <c r="AB1083" s="110"/>
      <c r="AC1083" s="110"/>
      <c r="AD1083" s="110"/>
      <c r="AE1083" s="110"/>
      <c r="AF1083" s="110"/>
      <c r="AG1083" s="110"/>
      <c r="AH1083" s="110"/>
      <c r="AI1083" s="110"/>
      <c r="AJ1083" s="110"/>
      <c r="AK1083" s="110"/>
      <c r="AL1083" s="110"/>
    </row>
    <row r="1084" spans="1:38" ht="15.75" customHeight="1">
      <c r="A1084" s="110"/>
      <c r="B1084" s="110"/>
      <c r="C1084" s="110"/>
      <c r="D1084" s="110"/>
      <c r="E1084" s="110"/>
      <c r="F1084" s="110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0"/>
      <c r="V1084" s="110"/>
      <c r="W1084" s="110"/>
      <c r="X1084" s="110"/>
      <c r="Y1084" s="110"/>
      <c r="Z1084" s="110"/>
      <c r="AA1084" s="110"/>
      <c r="AB1084" s="110"/>
      <c r="AC1084" s="110"/>
      <c r="AD1084" s="110"/>
      <c r="AE1084" s="110"/>
      <c r="AF1084" s="110"/>
      <c r="AG1084" s="110"/>
      <c r="AH1084" s="110"/>
      <c r="AI1084" s="110"/>
      <c r="AJ1084" s="110"/>
      <c r="AK1084" s="110"/>
      <c r="AL1084" s="110"/>
    </row>
    <row r="1085" spans="1:38" ht="15.75" customHeight="1">
      <c r="A1085" s="110"/>
      <c r="B1085" s="110"/>
      <c r="C1085" s="110"/>
      <c r="D1085" s="110"/>
      <c r="E1085" s="110"/>
      <c r="F1085" s="110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0"/>
      <c r="V1085" s="110"/>
      <c r="W1085" s="110"/>
      <c r="X1085" s="110"/>
      <c r="Y1085" s="110"/>
      <c r="Z1085" s="110"/>
      <c r="AA1085" s="110"/>
      <c r="AB1085" s="110"/>
      <c r="AC1085" s="110"/>
      <c r="AD1085" s="110"/>
      <c r="AE1085" s="110"/>
      <c r="AF1085" s="110"/>
      <c r="AG1085" s="110"/>
      <c r="AH1085" s="110"/>
      <c r="AI1085" s="110"/>
      <c r="AJ1085" s="110"/>
      <c r="AK1085" s="110"/>
      <c r="AL1085" s="110"/>
    </row>
    <row r="1086" spans="1:38" ht="15.75" customHeight="1">
      <c r="A1086" s="110"/>
      <c r="B1086" s="110"/>
      <c r="C1086" s="110"/>
      <c r="D1086" s="110"/>
      <c r="E1086" s="110"/>
      <c r="F1086" s="110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0"/>
      <c r="V1086" s="110"/>
      <c r="W1086" s="110"/>
      <c r="X1086" s="110"/>
      <c r="Y1086" s="110"/>
      <c r="Z1086" s="110"/>
      <c r="AA1086" s="110"/>
      <c r="AB1086" s="110"/>
      <c r="AC1086" s="110"/>
      <c r="AD1086" s="110"/>
      <c r="AE1086" s="110"/>
      <c r="AF1086" s="110"/>
      <c r="AG1086" s="110"/>
      <c r="AH1086" s="110"/>
      <c r="AI1086" s="110"/>
      <c r="AJ1086" s="110"/>
      <c r="AK1086" s="110"/>
      <c r="AL1086" s="110"/>
    </row>
    <row r="1087" spans="1:38" ht="15.75" customHeight="1">
      <c r="A1087" s="110"/>
      <c r="B1087" s="110"/>
      <c r="C1087" s="110"/>
      <c r="D1087" s="110"/>
      <c r="E1087" s="110"/>
      <c r="F1087" s="110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0"/>
      <c r="V1087" s="110"/>
      <c r="W1087" s="110"/>
      <c r="X1087" s="110"/>
      <c r="Y1087" s="110"/>
      <c r="Z1087" s="110"/>
      <c r="AA1087" s="110"/>
      <c r="AB1087" s="110"/>
      <c r="AC1087" s="110"/>
      <c r="AD1087" s="110"/>
      <c r="AE1087" s="110"/>
      <c r="AF1087" s="110"/>
      <c r="AG1087" s="110"/>
      <c r="AH1087" s="110"/>
      <c r="AI1087" s="110"/>
      <c r="AJ1087" s="110"/>
      <c r="AK1087" s="110"/>
      <c r="AL1087" s="110"/>
    </row>
    <row r="1088" spans="1:38" ht="15.75" customHeight="1">
      <c r="A1088" s="110"/>
      <c r="B1088" s="110"/>
      <c r="C1088" s="110"/>
      <c r="D1088" s="110"/>
      <c r="E1088" s="110"/>
      <c r="F1088" s="110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0"/>
      <c r="V1088" s="110"/>
      <c r="W1088" s="110"/>
      <c r="X1088" s="110"/>
      <c r="Y1088" s="110"/>
      <c r="Z1088" s="110"/>
      <c r="AA1088" s="110"/>
      <c r="AB1088" s="110"/>
      <c r="AC1088" s="110"/>
      <c r="AD1088" s="110"/>
      <c r="AE1088" s="110"/>
      <c r="AF1088" s="110"/>
      <c r="AG1088" s="110"/>
      <c r="AH1088" s="110"/>
      <c r="AI1088" s="110"/>
      <c r="AJ1088" s="110"/>
      <c r="AK1088" s="110"/>
      <c r="AL1088" s="110"/>
    </row>
    <row r="1089" spans="1:38" ht="15.75" customHeight="1">
      <c r="A1089" s="110"/>
      <c r="B1089" s="110"/>
      <c r="C1089" s="110"/>
      <c r="D1089" s="110"/>
      <c r="E1089" s="110"/>
      <c r="F1089" s="110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0"/>
      <c r="V1089" s="110"/>
      <c r="W1089" s="110"/>
      <c r="X1089" s="110"/>
      <c r="Y1089" s="110"/>
      <c r="Z1089" s="110"/>
      <c r="AA1089" s="110"/>
      <c r="AB1089" s="110"/>
      <c r="AC1089" s="110"/>
      <c r="AD1089" s="110"/>
      <c r="AE1089" s="110"/>
      <c r="AF1089" s="110"/>
      <c r="AG1089" s="110"/>
      <c r="AH1089" s="110"/>
      <c r="AI1089" s="110"/>
      <c r="AJ1089" s="110"/>
      <c r="AK1089" s="110"/>
      <c r="AL1089" s="110"/>
    </row>
    <row r="1090" spans="1:38" ht="15.75" customHeight="1">
      <c r="A1090" s="110"/>
      <c r="B1090" s="110"/>
      <c r="C1090" s="110"/>
      <c r="D1090" s="110"/>
      <c r="E1090" s="110"/>
      <c r="F1090" s="110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0"/>
      <c r="V1090" s="110"/>
      <c r="W1090" s="110"/>
      <c r="X1090" s="110"/>
      <c r="Y1090" s="110"/>
      <c r="Z1090" s="110"/>
      <c r="AA1090" s="110"/>
      <c r="AB1090" s="110"/>
      <c r="AC1090" s="110"/>
      <c r="AD1090" s="110"/>
      <c r="AE1090" s="110"/>
      <c r="AF1090" s="110"/>
      <c r="AG1090" s="110"/>
      <c r="AH1090" s="110"/>
      <c r="AI1090" s="110"/>
      <c r="AJ1090" s="110"/>
      <c r="AK1090" s="110"/>
      <c r="AL1090" s="110"/>
    </row>
    <row r="1091" spans="1:38" ht="15.75" customHeight="1">
      <c r="A1091" s="110"/>
      <c r="B1091" s="110"/>
      <c r="C1091" s="110"/>
      <c r="D1091" s="110"/>
      <c r="E1091" s="110"/>
      <c r="F1091" s="110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0"/>
      <c r="V1091" s="110"/>
      <c r="W1091" s="110"/>
      <c r="X1091" s="110"/>
      <c r="Y1091" s="110"/>
      <c r="Z1091" s="110"/>
      <c r="AA1091" s="110"/>
      <c r="AB1091" s="110"/>
      <c r="AC1091" s="110"/>
      <c r="AD1091" s="110"/>
      <c r="AE1091" s="110"/>
      <c r="AF1091" s="110"/>
      <c r="AG1091" s="110"/>
      <c r="AH1091" s="110"/>
      <c r="AI1091" s="110"/>
      <c r="AJ1091" s="110"/>
      <c r="AK1091" s="110"/>
      <c r="AL1091" s="110"/>
    </row>
    <row r="1092" spans="1:38" ht="15.75" customHeight="1">
      <c r="A1092" s="110"/>
      <c r="B1092" s="110"/>
      <c r="C1092" s="110"/>
      <c r="D1092" s="110"/>
      <c r="E1092" s="110"/>
      <c r="F1092" s="110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0"/>
      <c r="V1092" s="110"/>
      <c r="W1092" s="110"/>
      <c r="X1092" s="110"/>
      <c r="Y1092" s="110"/>
      <c r="Z1092" s="110"/>
      <c r="AA1092" s="110"/>
      <c r="AB1092" s="110"/>
      <c r="AC1092" s="110"/>
      <c r="AD1092" s="110"/>
      <c r="AE1092" s="110"/>
      <c r="AF1092" s="110"/>
      <c r="AG1092" s="110"/>
      <c r="AH1092" s="110"/>
      <c r="AI1092" s="110"/>
      <c r="AJ1092" s="110"/>
      <c r="AK1092" s="110"/>
      <c r="AL1092" s="110"/>
    </row>
    <row r="1093" spans="1:38" ht="15.75" customHeight="1">
      <c r="A1093" s="110"/>
      <c r="B1093" s="110"/>
      <c r="C1093" s="110"/>
      <c r="D1093" s="110"/>
      <c r="E1093" s="110"/>
      <c r="F1093" s="110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0"/>
      <c r="V1093" s="110"/>
      <c r="W1093" s="110"/>
      <c r="X1093" s="110"/>
      <c r="Y1093" s="110"/>
      <c r="Z1093" s="110"/>
      <c r="AA1093" s="110"/>
      <c r="AB1093" s="110"/>
      <c r="AC1093" s="110"/>
      <c r="AD1093" s="110"/>
      <c r="AE1093" s="110"/>
      <c r="AF1093" s="110"/>
      <c r="AG1093" s="110"/>
      <c r="AH1093" s="110"/>
      <c r="AI1093" s="110"/>
      <c r="AJ1093" s="110"/>
      <c r="AK1093" s="110"/>
      <c r="AL1093" s="110"/>
    </row>
    <row r="1094" spans="1:38" ht="15.75" customHeight="1">
      <c r="A1094" s="110"/>
      <c r="B1094" s="110"/>
      <c r="C1094" s="110"/>
      <c r="D1094" s="110"/>
      <c r="E1094" s="110"/>
      <c r="F1094" s="110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0"/>
      <c r="V1094" s="110"/>
      <c r="W1094" s="110"/>
      <c r="X1094" s="110"/>
      <c r="Y1094" s="110"/>
      <c r="Z1094" s="110"/>
      <c r="AA1094" s="110"/>
      <c r="AB1094" s="110"/>
      <c r="AC1094" s="110"/>
      <c r="AD1094" s="110"/>
      <c r="AE1094" s="110"/>
      <c r="AF1094" s="110"/>
      <c r="AG1094" s="110"/>
      <c r="AH1094" s="110"/>
      <c r="AI1094" s="110"/>
      <c r="AJ1094" s="110"/>
      <c r="AK1094" s="110"/>
      <c r="AL1094" s="110"/>
    </row>
    <row r="1095" spans="1:38" ht="15.75" customHeight="1">
      <c r="A1095" s="110"/>
      <c r="B1095" s="110"/>
      <c r="C1095" s="110"/>
      <c r="D1095" s="110"/>
      <c r="E1095" s="110"/>
      <c r="F1095" s="110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0"/>
      <c r="V1095" s="110"/>
      <c r="W1095" s="110"/>
      <c r="X1095" s="110"/>
      <c r="Y1095" s="110"/>
      <c r="Z1095" s="110"/>
      <c r="AA1095" s="110"/>
      <c r="AB1095" s="110"/>
      <c r="AC1095" s="110"/>
      <c r="AD1095" s="110"/>
      <c r="AE1095" s="110"/>
      <c r="AF1095" s="110"/>
      <c r="AG1095" s="110"/>
      <c r="AH1095" s="110"/>
      <c r="AI1095" s="110"/>
      <c r="AJ1095" s="110"/>
      <c r="AK1095" s="110"/>
      <c r="AL1095" s="110"/>
    </row>
    <row r="1096" spans="1:38" ht="15.75" customHeight="1">
      <c r="A1096" s="110"/>
      <c r="B1096" s="110"/>
      <c r="C1096" s="110"/>
      <c r="D1096" s="110"/>
      <c r="E1096" s="110"/>
      <c r="F1096" s="110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0"/>
      <c r="V1096" s="110"/>
      <c r="W1096" s="110"/>
      <c r="X1096" s="110"/>
      <c r="Y1096" s="110"/>
      <c r="Z1096" s="110"/>
      <c r="AA1096" s="110"/>
      <c r="AB1096" s="110"/>
      <c r="AC1096" s="110"/>
      <c r="AD1096" s="110"/>
      <c r="AE1096" s="110"/>
      <c r="AF1096" s="110"/>
      <c r="AG1096" s="110"/>
      <c r="AH1096" s="110"/>
      <c r="AI1096" s="110"/>
      <c r="AJ1096" s="110"/>
      <c r="AK1096" s="110"/>
      <c r="AL1096" s="110"/>
    </row>
    <row r="1097" spans="1:38" ht="15.75" customHeight="1">
      <c r="A1097" s="110"/>
      <c r="B1097" s="110"/>
      <c r="C1097" s="110"/>
      <c r="D1097" s="110"/>
      <c r="E1097" s="110"/>
      <c r="F1097" s="110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0"/>
      <c r="V1097" s="110"/>
      <c r="W1097" s="110"/>
      <c r="X1097" s="110"/>
      <c r="Y1097" s="110"/>
      <c r="Z1097" s="110"/>
      <c r="AA1097" s="110"/>
      <c r="AB1097" s="110"/>
      <c r="AC1097" s="110"/>
      <c r="AD1097" s="110"/>
      <c r="AE1097" s="110"/>
      <c r="AF1097" s="110"/>
      <c r="AG1097" s="110"/>
      <c r="AH1097" s="110"/>
      <c r="AI1097" s="110"/>
      <c r="AJ1097" s="110"/>
      <c r="AK1097" s="110"/>
      <c r="AL1097" s="110"/>
    </row>
    <row r="1098" spans="1:38" ht="15.75" customHeight="1">
      <c r="A1098" s="110"/>
      <c r="B1098" s="110"/>
      <c r="C1098" s="110"/>
      <c r="D1098" s="110"/>
      <c r="E1098" s="110"/>
      <c r="F1098" s="110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0"/>
      <c r="V1098" s="110"/>
      <c r="W1098" s="110"/>
      <c r="X1098" s="110"/>
      <c r="Y1098" s="110"/>
      <c r="Z1098" s="110"/>
      <c r="AA1098" s="110"/>
      <c r="AB1098" s="110"/>
      <c r="AC1098" s="110"/>
      <c r="AD1098" s="110"/>
      <c r="AE1098" s="110"/>
      <c r="AF1098" s="110"/>
      <c r="AG1098" s="110"/>
      <c r="AH1098" s="110"/>
      <c r="AI1098" s="110"/>
      <c r="AJ1098" s="110"/>
      <c r="AK1098" s="110"/>
      <c r="AL1098" s="110"/>
    </row>
    <row r="1099" spans="1:38" ht="15.75" customHeight="1">
      <c r="A1099" s="110"/>
      <c r="B1099" s="110"/>
      <c r="C1099" s="110"/>
      <c r="D1099" s="110"/>
      <c r="E1099" s="110"/>
      <c r="F1099" s="110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0"/>
      <c r="V1099" s="110"/>
      <c r="W1099" s="110"/>
      <c r="X1099" s="110"/>
      <c r="Y1099" s="110"/>
      <c r="Z1099" s="110"/>
      <c r="AA1099" s="110"/>
      <c r="AB1099" s="110"/>
      <c r="AC1099" s="110"/>
      <c r="AD1099" s="110"/>
      <c r="AE1099" s="110"/>
      <c r="AF1099" s="110"/>
      <c r="AG1099" s="110"/>
      <c r="AH1099" s="110"/>
      <c r="AI1099" s="110"/>
      <c r="AJ1099" s="110"/>
      <c r="AK1099" s="110"/>
      <c r="AL1099" s="110"/>
    </row>
    <row r="1100" spans="1:38" ht="15.75" customHeight="1">
      <c r="A1100" s="110"/>
      <c r="B1100" s="110"/>
      <c r="C1100" s="110"/>
      <c r="D1100" s="110"/>
      <c r="E1100" s="110"/>
      <c r="F1100" s="110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0"/>
      <c r="V1100" s="110"/>
      <c r="W1100" s="110"/>
      <c r="X1100" s="110"/>
      <c r="Y1100" s="110"/>
      <c r="Z1100" s="110"/>
      <c r="AA1100" s="110"/>
      <c r="AB1100" s="110"/>
      <c r="AC1100" s="110"/>
      <c r="AD1100" s="110"/>
      <c r="AE1100" s="110"/>
      <c r="AF1100" s="110"/>
      <c r="AG1100" s="110"/>
      <c r="AH1100" s="110"/>
      <c r="AI1100" s="110"/>
      <c r="AJ1100" s="110"/>
      <c r="AK1100" s="110"/>
      <c r="AL1100" s="110"/>
    </row>
    <row r="1101" spans="1:38" ht="15.75" customHeight="1">
      <c r="A1101" s="110"/>
      <c r="B1101" s="110"/>
      <c r="C1101" s="110"/>
      <c r="D1101" s="110"/>
      <c r="E1101" s="110"/>
      <c r="F1101" s="110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0"/>
      <c r="V1101" s="110"/>
      <c r="W1101" s="110"/>
      <c r="X1101" s="110"/>
      <c r="Y1101" s="110"/>
      <c r="Z1101" s="110"/>
      <c r="AA1101" s="110"/>
      <c r="AB1101" s="110"/>
      <c r="AC1101" s="110"/>
      <c r="AD1101" s="110"/>
      <c r="AE1101" s="110"/>
      <c r="AF1101" s="110"/>
      <c r="AG1101" s="110"/>
      <c r="AH1101" s="110"/>
      <c r="AI1101" s="110"/>
      <c r="AJ1101" s="110"/>
      <c r="AK1101" s="110"/>
      <c r="AL1101" s="110"/>
    </row>
    <row r="1102" spans="1:38" ht="15.75" customHeight="1">
      <c r="A1102" s="110"/>
      <c r="B1102" s="110"/>
      <c r="C1102" s="110"/>
      <c r="D1102" s="110"/>
      <c r="E1102" s="110"/>
      <c r="F1102" s="110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0"/>
      <c r="V1102" s="110"/>
      <c r="W1102" s="110"/>
      <c r="X1102" s="110"/>
      <c r="Y1102" s="110"/>
      <c r="Z1102" s="110"/>
      <c r="AA1102" s="110"/>
      <c r="AB1102" s="110"/>
      <c r="AC1102" s="110"/>
      <c r="AD1102" s="110"/>
      <c r="AE1102" s="110"/>
      <c r="AF1102" s="110"/>
      <c r="AG1102" s="110"/>
      <c r="AH1102" s="110"/>
      <c r="AI1102" s="110"/>
      <c r="AJ1102" s="110"/>
      <c r="AK1102" s="110"/>
      <c r="AL1102" s="110"/>
    </row>
    <row r="1103" spans="1:38" ht="15.75" customHeight="1">
      <c r="A1103" s="110"/>
      <c r="B1103" s="110"/>
      <c r="C1103" s="110"/>
      <c r="D1103" s="110"/>
      <c r="E1103" s="110"/>
      <c r="F1103" s="110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0"/>
      <c r="V1103" s="110"/>
      <c r="W1103" s="110"/>
      <c r="X1103" s="110"/>
      <c r="Y1103" s="110"/>
      <c r="Z1103" s="110"/>
      <c r="AA1103" s="110"/>
      <c r="AB1103" s="110"/>
      <c r="AC1103" s="110"/>
      <c r="AD1103" s="110"/>
      <c r="AE1103" s="110"/>
      <c r="AF1103" s="110"/>
      <c r="AG1103" s="110"/>
      <c r="AH1103" s="110"/>
      <c r="AI1103" s="110"/>
      <c r="AJ1103" s="110"/>
      <c r="AK1103" s="110"/>
      <c r="AL1103" s="110"/>
    </row>
    <row r="1104" spans="1:38" ht="15.75" customHeight="1">
      <c r="A1104" s="110"/>
      <c r="B1104" s="110"/>
      <c r="C1104" s="110"/>
      <c r="D1104" s="110"/>
      <c r="E1104" s="110"/>
      <c r="F1104" s="110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0"/>
      <c r="V1104" s="110"/>
      <c r="W1104" s="110"/>
      <c r="X1104" s="110"/>
      <c r="Y1104" s="110"/>
      <c r="Z1104" s="110"/>
      <c r="AA1104" s="110"/>
      <c r="AB1104" s="110"/>
      <c r="AC1104" s="110"/>
      <c r="AD1104" s="110"/>
      <c r="AE1104" s="110"/>
      <c r="AF1104" s="110"/>
      <c r="AG1104" s="110"/>
      <c r="AH1104" s="110"/>
      <c r="AI1104" s="110"/>
      <c r="AJ1104" s="110"/>
      <c r="AK1104" s="110"/>
      <c r="AL1104" s="110"/>
    </row>
    <row r="1105" spans="1:38" ht="15.75" customHeight="1">
      <c r="A1105" s="110"/>
      <c r="B1105" s="110"/>
      <c r="C1105" s="110"/>
      <c r="D1105" s="110"/>
      <c r="E1105" s="110"/>
      <c r="F1105" s="110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0"/>
      <c r="V1105" s="110"/>
      <c r="W1105" s="110"/>
      <c r="X1105" s="110"/>
      <c r="Y1105" s="110"/>
      <c r="Z1105" s="110"/>
      <c r="AA1105" s="110"/>
      <c r="AB1105" s="110"/>
      <c r="AC1105" s="110"/>
      <c r="AD1105" s="110"/>
      <c r="AE1105" s="110"/>
      <c r="AF1105" s="110"/>
      <c r="AG1105" s="110"/>
      <c r="AH1105" s="110"/>
      <c r="AI1105" s="110"/>
      <c r="AJ1105" s="110"/>
      <c r="AK1105" s="110"/>
      <c r="AL1105" s="110"/>
    </row>
    <row r="1106" spans="1:38" ht="15.75" customHeight="1">
      <c r="A1106" s="110"/>
      <c r="B1106" s="110"/>
      <c r="C1106" s="110"/>
      <c r="D1106" s="110"/>
      <c r="E1106" s="110"/>
      <c r="F1106" s="110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0"/>
      <c r="V1106" s="110"/>
      <c r="W1106" s="110"/>
      <c r="X1106" s="110"/>
      <c r="Y1106" s="110"/>
      <c r="Z1106" s="110"/>
      <c r="AA1106" s="110"/>
      <c r="AB1106" s="110"/>
      <c r="AC1106" s="110"/>
      <c r="AD1106" s="110"/>
      <c r="AE1106" s="110"/>
      <c r="AF1106" s="110"/>
      <c r="AG1106" s="110"/>
      <c r="AH1106" s="110"/>
      <c r="AI1106" s="110"/>
      <c r="AJ1106" s="110"/>
      <c r="AK1106" s="110"/>
      <c r="AL1106" s="110"/>
    </row>
    <row r="1107" spans="1:38" ht="15.75" customHeight="1">
      <c r="A1107" s="110"/>
      <c r="B1107" s="110"/>
      <c r="C1107" s="110"/>
      <c r="D1107" s="110"/>
      <c r="E1107" s="110"/>
      <c r="F1107" s="110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0"/>
      <c r="V1107" s="110"/>
      <c r="W1107" s="110"/>
      <c r="X1107" s="110"/>
      <c r="Y1107" s="110"/>
      <c r="Z1107" s="110"/>
      <c r="AA1107" s="110"/>
      <c r="AB1107" s="110"/>
      <c r="AC1107" s="110"/>
      <c r="AD1107" s="110"/>
      <c r="AE1107" s="110"/>
      <c r="AF1107" s="110"/>
      <c r="AG1107" s="110"/>
      <c r="AH1107" s="110"/>
      <c r="AI1107" s="110"/>
      <c r="AJ1107" s="110"/>
      <c r="AK1107" s="110"/>
      <c r="AL1107" s="110"/>
    </row>
    <row r="1108" spans="1:38" ht="15.75" customHeight="1">
      <c r="A1108" s="110"/>
      <c r="B1108" s="110"/>
      <c r="C1108" s="110"/>
      <c r="D1108" s="110"/>
      <c r="E1108" s="110"/>
      <c r="F1108" s="110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0"/>
      <c r="V1108" s="110"/>
      <c r="W1108" s="110"/>
      <c r="X1108" s="110"/>
      <c r="Y1108" s="110"/>
      <c r="Z1108" s="110"/>
      <c r="AA1108" s="110"/>
      <c r="AB1108" s="110"/>
      <c r="AC1108" s="110"/>
      <c r="AD1108" s="110"/>
      <c r="AE1108" s="110"/>
      <c r="AF1108" s="110"/>
      <c r="AG1108" s="110"/>
      <c r="AH1108" s="110"/>
      <c r="AI1108" s="110"/>
      <c r="AJ1108" s="110"/>
      <c r="AK1108" s="110"/>
      <c r="AL1108" s="110"/>
    </row>
    <row r="1109" spans="1:38" ht="15.75" customHeight="1">
      <c r="A1109" s="110"/>
      <c r="B1109" s="110"/>
      <c r="C1109" s="110"/>
      <c r="D1109" s="110"/>
      <c r="E1109" s="110"/>
      <c r="F1109" s="110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0"/>
      <c r="V1109" s="110"/>
      <c r="W1109" s="110"/>
      <c r="X1109" s="110"/>
      <c r="Y1109" s="110"/>
      <c r="Z1109" s="110"/>
      <c r="AA1109" s="110"/>
      <c r="AB1109" s="110"/>
      <c r="AC1109" s="110"/>
      <c r="AD1109" s="110"/>
      <c r="AE1109" s="110"/>
      <c r="AF1109" s="110"/>
      <c r="AG1109" s="110"/>
      <c r="AH1109" s="110"/>
      <c r="AI1109" s="110"/>
      <c r="AJ1109" s="110"/>
      <c r="AK1109" s="110"/>
      <c r="AL1109" s="110"/>
    </row>
    <row r="1110" spans="1:38" ht="15.75" customHeight="1">
      <c r="A1110" s="110"/>
      <c r="B1110" s="110"/>
      <c r="C1110" s="110"/>
      <c r="D1110" s="110"/>
      <c r="E1110" s="110"/>
      <c r="F1110" s="110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0"/>
      <c r="V1110" s="110"/>
      <c r="W1110" s="110"/>
      <c r="X1110" s="110"/>
      <c r="Y1110" s="110"/>
      <c r="Z1110" s="110"/>
      <c r="AA1110" s="110"/>
      <c r="AB1110" s="110"/>
      <c r="AC1110" s="110"/>
      <c r="AD1110" s="110"/>
      <c r="AE1110" s="110"/>
      <c r="AF1110" s="110"/>
      <c r="AG1110" s="110"/>
      <c r="AH1110" s="110"/>
      <c r="AI1110" s="110"/>
      <c r="AJ1110" s="110"/>
      <c r="AK1110" s="110"/>
      <c r="AL1110" s="110"/>
    </row>
    <row r="1111" spans="1:38" ht="15.75" customHeight="1">
      <c r="A1111" s="110"/>
      <c r="B1111" s="110"/>
      <c r="C1111" s="110"/>
      <c r="D1111" s="110"/>
      <c r="E1111" s="110"/>
      <c r="F1111" s="110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0"/>
      <c r="V1111" s="110"/>
      <c r="W1111" s="110"/>
      <c r="X1111" s="110"/>
      <c r="Y1111" s="110"/>
      <c r="Z1111" s="110"/>
      <c r="AA1111" s="110"/>
      <c r="AB1111" s="110"/>
      <c r="AC1111" s="110"/>
      <c r="AD1111" s="110"/>
      <c r="AE1111" s="110"/>
      <c r="AF1111" s="110"/>
      <c r="AG1111" s="110"/>
      <c r="AH1111" s="110"/>
      <c r="AI1111" s="110"/>
      <c r="AJ1111" s="110"/>
      <c r="AK1111" s="110"/>
      <c r="AL1111" s="110"/>
    </row>
    <row r="1112" spans="1:38" ht="15.75" customHeight="1">
      <c r="A1112" s="110"/>
      <c r="B1112" s="110"/>
      <c r="C1112" s="110"/>
      <c r="D1112" s="110"/>
      <c r="E1112" s="110"/>
      <c r="F1112" s="110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0"/>
      <c r="V1112" s="110"/>
      <c r="W1112" s="110"/>
      <c r="X1112" s="110"/>
      <c r="Y1112" s="110"/>
      <c r="Z1112" s="110"/>
      <c r="AA1112" s="110"/>
      <c r="AB1112" s="110"/>
      <c r="AC1112" s="110"/>
      <c r="AD1112" s="110"/>
      <c r="AE1112" s="110"/>
      <c r="AF1112" s="110"/>
      <c r="AG1112" s="110"/>
      <c r="AH1112" s="110"/>
      <c r="AI1112" s="110"/>
      <c r="AJ1112" s="110"/>
      <c r="AK1112" s="110"/>
      <c r="AL1112" s="110"/>
    </row>
    <row r="1113" spans="1:38" ht="15.75" customHeight="1">
      <c r="A1113" s="110"/>
      <c r="B1113" s="110"/>
      <c r="C1113" s="110"/>
      <c r="D1113" s="110"/>
      <c r="E1113" s="110"/>
      <c r="F1113" s="110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0"/>
      <c r="V1113" s="110"/>
      <c r="W1113" s="110"/>
      <c r="X1113" s="110"/>
      <c r="Y1113" s="110"/>
      <c r="Z1113" s="110"/>
      <c r="AA1113" s="110"/>
      <c r="AB1113" s="110"/>
      <c r="AC1113" s="110"/>
      <c r="AD1113" s="110"/>
      <c r="AE1113" s="110"/>
      <c r="AF1113" s="110"/>
      <c r="AG1113" s="110"/>
      <c r="AH1113" s="110"/>
      <c r="AI1113" s="110"/>
      <c r="AJ1113" s="110"/>
      <c r="AK1113" s="110"/>
      <c r="AL1113" s="110"/>
    </row>
    <row r="1114" spans="1:38" ht="15.75" customHeight="1">
      <c r="A1114" s="110"/>
      <c r="B1114" s="110"/>
      <c r="C1114" s="110"/>
      <c r="D1114" s="110"/>
      <c r="E1114" s="110"/>
      <c r="F1114" s="110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0"/>
      <c r="V1114" s="110"/>
      <c r="W1114" s="110"/>
      <c r="X1114" s="110"/>
      <c r="Y1114" s="110"/>
      <c r="Z1114" s="110"/>
      <c r="AA1114" s="110"/>
      <c r="AB1114" s="110"/>
      <c r="AC1114" s="110"/>
      <c r="AD1114" s="110"/>
      <c r="AE1114" s="110"/>
      <c r="AF1114" s="110"/>
      <c r="AG1114" s="110"/>
      <c r="AH1114" s="110"/>
      <c r="AI1114" s="110"/>
      <c r="AJ1114" s="110"/>
      <c r="AK1114" s="110"/>
      <c r="AL1114" s="110"/>
    </row>
    <row r="1115" spans="1:38" ht="15.75" customHeight="1">
      <c r="A1115" s="110"/>
      <c r="B1115" s="110"/>
      <c r="C1115" s="110"/>
      <c r="D1115" s="110"/>
      <c r="E1115" s="110"/>
      <c r="F1115" s="110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0"/>
      <c r="V1115" s="110"/>
      <c r="W1115" s="110"/>
      <c r="X1115" s="110"/>
      <c r="Y1115" s="110"/>
      <c r="Z1115" s="110"/>
      <c r="AA1115" s="110"/>
      <c r="AB1115" s="110"/>
      <c r="AC1115" s="110"/>
      <c r="AD1115" s="110"/>
      <c r="AE1115" s="110"/>
      <c r="AF1115" s="110"/>
      <c r="AG1115" s="110"/>
      <c r="AH1115" s="110"/>
      <c r="AI1115" s="110"/>
      <c r="AJ1115" s="110"/>
      <c r="AK1115" s="110"/>
      <c r="AL1115" s="110"/>
    </row>
    <row r="1116" spans="1:38" ht="15.75" customHeight="1">
      <c r="A1116" s="110"/>
      <c r="B1116" s="110"/>
      <c r="C1116" s="110"/>
      <c r="D1116" s="110"/>
      <c r="E1116" s="110"/>
      <c r="F1116" s="110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0"/>
      <c r="V1116" s="110"/>
      <c r="W1116" s="110"/>
      <c r="X1116" s="110"/>
      <c r="Y1116" s="110"/>
      <c r="Z1116" s="110"/>
      <c r="AA1116" s="110"/>
      <c r="AB1116" s="110"/>
      <c r="AC1116" s="110"/>
      <c r="AD1116" s="110"/>
      <c r="AE1116" s="110"/>
      <c r="AF1116" s="110"/>
      <c r="AG1116" s="110"/>
      <c r="AH1116" s="110"/>
      <c r="AI1116" s="110"/>
      <c r="AJ1116" s="110"/>
      <c r="AK1116" s="110"/>
      <c r="AL1116" s="110"/>
    </row>
    <row r="1117" spans="1:38" ht="15.75" customHeight="1">
      <c r="A1117" s="110"/>
      <c r="B1117" s="110"/>
      <c r="C1117" s="110"/>
      <c r="D1117" s="110"/>
      <c r="E1117" s="110"/>
      <c r="F1117" s="110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0"/>
      <c r="V1117" s="110"/>
      <c r="W1117" s="110"/>
      <c r="X1117" s="110"/>
      <c r="Y1117" s="110"/>
      <c r="Z1117" s="110"/>
      <c r="AA1117" s="110"/>
      <c r="AB1117" s="110"/>
      <c r="AC1117" s="110"/>
      <c r="AD1117" s="110"/>
      <c r="AE1117" s="110"/>
      <c r="AF1117" s="110"/>
      <c r="AG1117" s="110"/>
      <c r="AH1117" s="110"/>
      <c r="AI1117" s="110"/>
      <c r="AJ1117" s="110"/>
      <c r="AK1117" s="110"/>
      <c r="AL1117" s="110"/>
    </row>
    <row r="1118" spans="1:38" ht="15.75" customHeight="1">
      <c r="A1118" s="110"/>
      <c r="B1118" s="110"/>
      <c r="C1118" s="110"/>
      <c r="D1118" s="110"/>
      <c r="E1118" s="110"/>
      <c r="F1118" s="110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0"/>
      <c r="V1118" s="110"/>
      <c r="W1118" s="110"/>
      <c r="X1118" s="110"/>
      <c r="Y1118" s="110"/>
      <c r="Z1118" s="110"/>
      <c r="AA1118" s="110"/>
      <c r="AB1118" s="110"/>
      <c r="AC1118" s="110"/>
      <c r="AD1118" s="110"/>
      <c r="AE1118" s="110"/>
      <c r="AF1118" s="110"/>
      <c r="AG1118" s="110"/>
      <c r="AH1118" s="110"/>
      <c r="AI1118" s="110"/>
      <c r="AJ1118" s="110"/>
      <c r="AK1118" s="110"/>
      <c r="AL1118" s="110"/>
    </row>
    <row r="1119" spans="1:38" ht="15.75" customHeight="1">
      <c r="A1119" s="110"/>
      <c r="B1119" s="110"/>
      <c r="C1119" s="110"/>
      <c r="D1119" s="110"/>
      <c r="E1119" s="110"/>
      <c r="F1119" s="110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0"/>
      <c r="V1119" s="110"/>
      <c r="W1119" s="110"/>
      <c r="X1119" s="110"/>
      <c r="Y1119" s="110"/>
      <c r="Z1119" s="110"/>
      <c r="AA1119" s="110"/>
      <c r="AB1119" s="110"/>
      <c r="AC1119" s="110"/>
      <c r="AD1119" s="110"/>
      <c r="AE1119" s="110"/>
      <c r="AF1119" s="110"/>
      <c r="AG1119" s="110"/>
      <c r="AH1119" s="110"/>
      <c r="AI1119" s="110"/>
      <c r="AJ1119" s="110"/>
      <c r="AK1119" s="110"/>
      <c r="AL1119" s="110"/>
    </row>
    <row r="1120" spans="1:38" ht="15.75" customHeight="1">
      <c r="A1120" s="110"/>
      <c r="B1120" s="110"/>
      <c r="C1120" s="110"/>
      <c r="D1120" s="110"/>
      <c r="E1120" s="110"/>
      <c r="F1120" s="110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0"/>
      <c r="V1120" s="110"/>
      <c r="W1120" s="110"/>
      <c r="X1120" s="110"/>
      <c r="Y1120" s="110"/>
      <c r="Z1120" s="110"/>
      <c r="AA1120" s="110"/>
      <c r="AB1120" s="110"/>
      <c r="AC1120" s="110"/>
      <c r="AD1120" s="110"/>
      <c r="AE1120" s="110"/>
      <c r="AF1120" s="110"/>
      <c r="AG1120" s="110"/>
      <c r="AH1120" s="110"/>
      <c r="AI1120" s="110"/>
      <c r="AJ1120" s="110"/>
      <c r="AK1120" s="110"/>
      <c r="AL1120" s="110"/>
    </row>
    <row r="1121" spans="1:38" ht="15.75" customHeight="1">
      <c r="A1121" s="110"/>
      <c r="B1121" s="110"/>
      <c r="C1121" s="110"/>
      <c r="D1121" s="110"/>
      <c r="E1121" s="110"/>
      <c r="F1121" s="110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0"/>
      <c r="V1121" s="110"/>
      <c r="W1121" s="110"/>
      <c r="X1121" s="110"/>
      <c r="Y1121" s="110"/>
      <c r="Z1121" s="110"/>
      <c r="AA1121" s="110"/>
      <c r="AB1121" s="110"/>
      <c r="AC1121" s="110"/>
      <c r="AD1121" s="110"/>
      <c r="AE1121" s="110"/>
      <c r="AF1121" s="110"/>
      <c r="AG1121" s="110"/>
      <c r="AH1121" s="110"/>
      <c r="AI1121" s="110"/>
      <c r="AJ1121" s="110"/>
      <c r="AK1121" s="110"/>
      <c r="AL1121" s="110"/>
    </row>
    <row r="1122" spans="1:38" ht="15.75" customHeight="1">
      <c r="A1122" s="110"/>
      <c r="B1122" s="110"/>
      <c r="C1122" s="110"/>
      <c r="D1122" s="110"/>
      <c r="E1122" s="110"/>
      <c r="F1122" s="110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0"/>
      <c r="V1122" s="110"/>
      <c r="W1122" s="110"/>
      <c r="X1122" s="110"/>
      <c r="Y1122" s="110"/>
      <c r="Z1122" s="110"/>
      <c r="AA1122" s="110"/>
      <c r="AB1122" s="110"/>
      <c r="AC1122" s="110"/>
      <c r="AD1122" s="110"/>
      <c r="AE1122" s="110"/>
      <c r="AF1122" s="110"/>
      <c r="AG1122" s="110"/>
      <c r="AH1122" s="110"/>
      <c r="AI1122" s="110"/>
      <c r="AJ1122" s="110"/>
      <c r="AK1122" s="110"/>
      <c r="AL1122" s="110"/>
    </row>
    <row r="1123" spans="1:38" ht="15.75" customHeight="1">
      <c r="A1123" s="110"/>
      <c r="B1123" s="110"/>
      <c r="C1123" s="110"/>
      <c r="D1123" s="110"/>
      <c r="E1123" s="110"/>
      <c r="F1123" s="110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0"/>
      <c r="V1123" s="110"/>
      <c r="W1123" s="110"/>
      <c r="X1123" s="110"/>
      <c r="Y1123" s="110"/>
      <c r="Z1123" s="110"/>
      <c r="AA1123" s="110"/>
      <c r="AB1123" s="110"/>
      <c r="AC1123" s="110"/>
      <c r="AD1123" s="110"/>
      <c r="AE1123" s="110"/>
      <c r="AF1123" s="110"/>
      <c r="AG1123" s="110"/>
      <c r="AH1123" s="110"/>
      <c r="AI1123" s="110"/>
      <c r="AJ1123" s="110"/>
      <c r="AK1123" s="110"/>
      <c r="AL1123" s="110"/>
    </row>
    <row r="1124" spans="1:38" ht="15.75" customHeight="1">
      <c r="A1124" s="110"/>
      <c r="B1124" s="110"/>
      <c r="C1124" s="110"/>
      <c r="D1124" s="110"/>
      <c r="E1124" s="110"/>
      <c r="F1124" s="110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0"/>
      <c r="V1124" s="110"/>
      <c r="W1124" s="110"/>
      <c r="X1124" s="110"/>
      <c r="Y1124" s="110"/>
      <c r="Z1124" s="110"/>
      <c r="AA1124" s="110"/>
      <c r="AB1124" s="110"/>
      <c r="AC1124" s="110"/>
      <c r="AD1124" s="110"/>
      <c r="AE1124" s="110"/>
      <c r="AF1124" s="110"/>
      <c r="AG1124" s="110"/>
      <c r="AH1124" s="110"/>
      <c r="AI1124" s="110"/>
      <c r="AJ1124" s="110"/>
      <c r="AK1124" s="110"/>
      <c r="AL1124" s="110"/>
    </row>
    <row r="1125" spans="1:38" ht="15.75" customHeight="1">
      <c r="A1125" s="110"/>
      <c r="B1125" s="110"/>
      <c r="C1125" s="110"/>
      <c r="D1125" s="110"/>
      <c r="E1125" s="110"/>
      <c r="F1125" s="110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0"/>
      <c r="V1125" s="110"/>
      <c r="W1125" s="110"/>
      <c r="X1125" s="110"/>
      <c r="Y1125" s="110"/>
      <c r="Z1125" s="110"/>
      <c r="AA1125" s="110"/>
      <c r="AB1125" s="110"/>
      <c r="AC1125" s="110"/>
      <c r="AD1125" s="110"/>
      <c r="AE1125" s="110"/>
      <c r="AF1125" s="110"/>
      <c r="AG1125" s="110"/>
      <c r="AH1125" s="110"/>
      <c r="AI1125" s="110"/>
      <c r="AJ1125" s="110"/>
      <c r="AK1125" s="110"/>
      <c r="AL1125" s="110"/>
    </row>
  </sheetData>
  <mergeCells count="614">
    <mergeCell ref="I316:I317"/>
    <mergeCell ref="I332:I333"/>
    <mergeCell ref="I290:I291"/>
    <mergeCell ref="I303:I304"/>
    <mergeCell ref="I193:I194"/>
    <mergeCell ref="I102:I103"/>
    <mergeCell ref="I70:I71"/>
    <mergeCell ref="I89:I90"/>
    <mergeCell ref="J78:J80"/>
    <mergeCell ref="AA78:AA80"/>
    <mergeCell ref="AB78:AB80"/>
    <mergeCell ref="J75:J77"/>
    <mergeCell ref="AA75:AA77"/>
    <mergeCell ref="AB75:AB77"/>
    <mergeCell ref="Y8:Y9"/>
    <mergeCell ref="AA8:AA9"/>
    <mergeCell ref="AB8:AB9"/>
    <mergeCell ref="J10:J11"/>
    <mergeCell ref="AA10:AA11"/>
    <mergeCell ref="AB10:AB11"/>
    <mergeCell ref="J16:J17"/>
    <mergeCell ref="AA16:AA17"/>
    <mergeCell ref="AB16:AB17"/>
    <mergeCell ref="J25:J26"/>
    <mergeCell ref="AA25:AA26"/>
    <mergeCell ref="AB25:AB26"/>
    <mergeCell ref="J33:J34"/>
    <mergeCell ref="AA33:AA34"/>
    <mergeCell ref="AB33:AB34"/>
    <mergeCell ref="J44:J45"/>
    <mergeCell ref="AA44:AA45"/>
    <mergeCell ref="AB44:AB45"/>
    <mergeCell ref="AB6:AB7"/>
    <mergeCell ref="A8:A9"/>
    <mergeCell ref="B8:B9"/>
    <mergeCell ref="C8:C9"/>
    <mergeCell ref="D8:D9"/>
    <mergeCell ref="E8:E9"/>
    <mergeCell ref="F8:G9"/>
    <mergeCell ref="H8:H9"/>
    <mergeCell ref="J8:J9"/>
    <mergeCell ref="K8:K9"/>
    <mergeCell ref="I8:I9"/>
    <mergeCell ref="F17:G17"/>
    <mergeCell ref="J18:J19"/>
    <mergeCell ref="AA18:AA19"/>
    <mergeCell ref="AB18:AB19"/>
    <mergeCell ref="F11:G11"/>
    <mergeCell ref="J12:J13"/>
    <mergeCell ref="AA12:AA13"/>
    <mergeCell ref="AB12:AB13"/>
    <mergeCell ref="F13:G13"/>
    <mergeCell ref="J14:J15"/>
    <mergeCell ref="AA14:AA15"/>
    <mergeCell ref="AB14:AB15"/>
    <mergeCell ref="F15:G15"/>
    <mergeCell ref="F26:G26"/>
    <mergeCell ref="J27:J28"/>
    <mergeCell ref="AA27:AA28"/>
    <mergeCell ref="AB27:AB28"/>
    <mergeCell ref="F28:G28"/>
    <mergeCell ref="F20:G20"/>
    <mergeCell ref="J20:J21"/>
    <mergeCell ref="AA20:AA21"/>
    <mergeCell ref="AB20:AB21"/>
    <mergeCell ref="F21:G21"/>
    <mergeCell ref="F24:G24"/>
    <mergeCell ref="F34:G34"/>
    <mergeCell ref="J35:J36"/>
    <mergeCell ref="AA35:AA36"/>
    <mergeCell ref="AB35:AB36"/>
    <mergeCell ref="F36:G36"/>
    <mergeCell ref="J29:J30"/>
    <mergeCell ref="AA29:AA30"/>
    <mergeCell ref="AB29:AB30"/>
    <mergeCell ref="F30:G30"/>
    <mergeCell ref="J31:J32"/>
    <mergeCell ref="AA31:AA32"/>
    <mergeCell ref="AB31:AB32"/>
    <mergeCell ref="F32:G32"/>
    <mergeCell ref="F45:G45"/>
    <mergeCell ref="J46:J47"/>
    <mergeCell ref="AA46:AA47"/>
    <mergeCell ref="AB46:AB47"/>
    <mergeCell ref="F47:G47"/>
    <mergeCell ref="F39:G39"/>
    <mergeCell ref="J40:J41"/>
    <mergeCell ref="AA40:AA41"/>
    <mergeCell ref="AB40:AB41"/>
    <mergeCell ref="F41:G41"/>
    <mergeCell ref="J42:J43"/>
    <mergeCell ref="AA42:AA43"/>
    <mergeCell ref="AB42:AB43"/>
    <mergeCell ref="F43:G43"/>
    <mergeCell ref="F57:G58"/>
    <mergeCell ref="H57:H58"/>
    <mergeCell ref="J48:J49"/>
    <mergeCell ref="AA48:AA49"/>
    <mergeCell ref="AB48:AB49"/>
    <mergeCell ref="F49:G49"/>
    <mergeCell ref="J50:J51"/>
    <mergeCell ref="AA50:AA51"/>
    <mergeCell ref="AB50:AB51"/>
    <mergeCell ref="F51:G51"/>
    <mergeCell ref="I57:I58"/>
    <mergeCell ref="A70:A71"/>
    <mergeCell ref="B70:B71"/>
    <mergeCell ref="C70:D71"/>
    <mergeCell ref="E70:E71"/>
    <mergeCell ref="F70:G71"/>
    <mergeCell ref="H70:H71"/>
    <mergeCell ref="J70:J71"/>
    <mergeCell ref="AB57:AB58"/>
    <mergeCell ref="J59:J61"/>
    <mergeCell ref="AA59:AA61"/>
    <mergeCell ref="AB59:AB61"/>
    <mergeCell ref="J62:J64"/>
    <mergeCell ref="AA62:AA64"/>
    <mergeCell ref="AB62:AB64"/>
    <mergeCell ref="J57:J58"/>
    <mergeCell ref="K57:K58"/>
    <mergeCell ref="X57:X58"/>
    <mergeCell ref="Y57:Y58"/>
    <mergeCell ref="Z57:Z58"/>
    <mergeCell ref="AA57:AA58"/>
    <mergeCell ref="A57:A58"/>
    <mergeCell ref="B57:B58"/>
    <mergeCell ref="C57:D58"/>
    <mergeCell ref="E57:E58"/>
    <mergeCell ref="K70:K71"/>
    <mergeCell ref="X70:X71"/>
    <mergeCell ref="Y70:Y71"/>
    <mergeCell ref="Z70:Z71"/>
    <mergeCell ref="AA70:AA71"/>
    <mergeCell ref="AB70:AB71"/>
    <mergeCell ref="J72:J74"/>
    <mergeCell ref="AA72:AA74"/>
    <mergeCell ref="AB72:AB74"/>
    <mergeCell ref="A89:A90"/>
    <mergeCell ref="B89:B90"/>
    <mergeCell ref="C89:D90"/>
    <mergeCell ref="E89:E90"/>
    <mergeCell ref="F89:G90"/>
    <mergeCell ref="H89:H90"/>
    <mergeCell ref="J89:J90"/>
    <mergeCell ref="J81:J83"/>
    <mergeCell ref="AA81:AA83"/>
    <mergeCell ref="AB81:AB83"/>
    <mergeCell ref="J91:J93"/>
    <mergeCell ref="AA91:AA93"/>
    <mergeCell ref="AB91:AB93"/>
    <mergeCell ref="J94:J96"/>
    <mergeCell ref="AA94:AA96"/>
    <mergeCell ref="AB94:AB96"/>
    <mergeCell ref="K89:K90"/>
    <mergeCell ref="X89:X90"/>
    <mergeCell ref="Y89:Y90"/>
    <mergeCell ref="Z89:Z90"/>
    <mergeCell ref="AA89:AA90"/>
    <mergeCell ref="AB89:AB90"/>
    <mergeCell ref="G102:G103"/>
    <mergeCell ref="H102:H103"/>
    <mergeCell ref="J102:J103"/>
    <mergeCell ref="K102:K103"/>
    <mergeCell ref="X102:X103"/>
    <mergeCell ref="Y102:Y103"/>
    <mergeCell ref="A102:A103"/>
    <mergeCell ref="B102:B103"/>
    <mergeCell ref="C102:C103"/>
    <mergeCell ref="D102:D103"/>
    <mergeCell ref="E102:E103"/>
    <mergeCell ref="F102:F103"/>
    <mergeCell ref="J106:J107"/>
    <mergeCell ref="AA106:AA107"/>
    <mergeCell ref="AB106:AB107"/>
    <mergeCell ref="J108:J109"/>
    <mergeCell ref="AA108:AA109"/>
    <mergeCell ref="AB108:AB109"/>
    <mergeCell ref="Z102:Z103"/>
    <mergeCell ref="AA102:AA103"/>
    <mergeCell ref="AB102:AB103"/>
    <mergeCell ref="J104:J105"/>
    <mergeCell ref="AA104:AA105"/>
    <mergeCell ref="AB104:AB105"/>
    <mergeCell ref="J115:J116"/>
    <mergeCell ref="AA115:AA116"/>
    <mergeCell ref="AB115:AB116"/>
    <mergeCell ref="J118:J119"/>
    <mergeCell ref="AA118:AA119"/>
    <mergeCell ref="AB118:AB119"/>
    <mergeCell ref="J111:J112"/>
    <mergeCell ref="AA111:AA112"/>
    <mergeCell ref="AB111:AB112"/>
    <mergeCell ref="J113:J114"/>
    <mergeCell ref="AA113:AA114"/>
    <mergeCell ref="AB113:AB114"/>
    <mergeCell ref="J125:J126"/>
    <mergeCell ref="AA125:AA126"/>
    <mergeCell ref="AB125:AB126"/>
    <mergeCell ref="J127:J128"/>
    <mergeCell ref="AA127:AA128"/>
    <mergeCell ref="AB127:AB128"/>
    <mergeCell ref="J120:J121"/>
    <mergeCell ref="AA120:AA121"/>
    <mergeCell ref="AB120:AB121"/>
    <mergeCell ref="J122:J123"/>
    <mergeCell ref="AA122:AA123"/>
    <mergeCell ref="AB122:AB123"/>
    <mergeCell ref="J134:J135"/>
    <mergeCell ref="AA134:AA135"/>
    <mergeCell ref="AB134:AB135"/>
    <mergeCell ref="J136:J137"/>
    <mergeCell ref="AA136:AA137"/>
    <mergeCell ref="AB136:AB137"/>
    <mergeCell ref="J129:J130"/>
    <mergeCell ref="AA129:AA130"/>
    <mergeCell ref="AB129:AB130"/>
    <mergeCell ref="J132:J133"/>
    <mergeCell ref="AA132:AA133"/>
    <mergeCell ref="AB132:AB133"/>
    <mergeCell ref="J143:J144"/>
    <mergeCell ref="AA143:AA144"/>
    <mergeCell ref="AB143:AB144"/>
    <mergeCell ref="F147:G147"/>
    <mergeCell ref="F148:G148"/>
    <mergeCell ref="J148:J149"/>
    <mergeCell ref="AA148:AA149"/>
    <mergeCell ref="AB148:AB149"/>
    <mergeCell ref="J139:J140"/>
    <mergeCell ref="AA139:AA140"/>
    <mergeCell ref="AB139:AB140"/>
    <mergeCell ref="J141:J142"/>
    <mergeCell ref="AA141:AA142"/>
    <mergeCell ref="AB141:AB142"/>
    <mergeCell ref="J154:J155"/>
    <mergeCell ref="AA154:AA155"/>
    <mergeCell ref="AB154:AB155"/>
    <mergeCell ref="J156:J157"/>
    <mergeCell ref="AA156:AA157"/>
    <mergeCell ref="AB156:AB157"/>
    <mergeCell ref="F150:G150"/>
    <mergeCell ref="J150:J151"/>
    <mergeCell ref="AA150:AA151"/>
    <mergeCell ref="AB150:AB151"/>
    <mergeCell ref="F152:G152"/>
    <mergeCell ref="J152:J153"/>
    <mergeCell ref="AA152:AA153"/>
    <mergeCell ref="AB152:AB153"/>
    <mergeCell ref="J165:J166"/>
    <mergeCell ref="AA165:AA166"/>
    <mergeCell ref="AB165:AB166"/>
    <mergeCell ref="F166:G166"/>
    <mergeCell ref="J167:J168"/>
    <mergeCell ref="AA167:AA168"/>
    <mergeCell ref="AB167:AB168"/>
    <mergeCell ref="F168:G168"/>
    <mergeCell ref="J158:J159"/>
    <mergeCell ref="AA158:AA159"/>
    <mergeCell ref="AB158:AB159"/>
    <mergeCell ref="F162:G162"/>
    <mergeCell ref="F163:G163"/>
    <mergeCell ref="J163:J164"/>
    <mergeCell ref="AA163:AA164"/>
    <mergeCell ref="AB163:AB164"/>
    <mergeCell ref="F164:G164"/>
    <mergeCell ref="J173:J174"/>
    <mergeCell ref="AA173:AA174"/>
    <mergeCell ref="AB173:AB174"/>
    <mergeCell ref="F174:G174"/>
    <mergeCell ref="J178:J179"/>
    <mergeCell ref="AA178:AA179"/>
    <mergeCell ref="AB178:AB179"/>
    <mergeCell ref="J169:J170"/>
    <mergeCell ref="AA169:AA170"/>
    <mergeCell ref="AB169:AB170"/>
    <mergeCell ref="F170:G170"/>
    <mergeCell ref="J171:J172"/>
    <mergeCell ref="AA171:AA172"/>
    <mergeCell ref="AB171:AB172"/>
    <mergeCell ref="F172:G172"/>
    <mergeCell ref="J184:J185"/>
    <mergeCell ref="AA184:AA185"/>
    <mergeCell ref="AB184:AB185"/>
    <mergeCell ref="J186:J187"/>
    <mergeCell ref="AA186:AA187"/>
    <mergeCell ref="AB186:AB187"/>
    <mergeCell ref="J180:J181"/>
    <mergeCell ref="AA180:AA181"/>
    <mergeCell ref="AB180:AB181"/>
    <mergeCell ref="J182:J183"/>
    <mergeCell ref="AA182:AA183"/>
    <mergeCell ref="AB182:AB183"/>
    <mergeCell ref="G193:G194"/>
    <mergeCell ref="H193:H194"/>
    <mergeCell ref="J193:J194"/>
    <mergeCell ref="K193:K194"/>
    <mergeCell ref="X193:X194"/>
    <mergeCell ref="Y193:Y194"/>
    <mergeCell ref="A193:A194"/>
    <mergeCell ref="B193:B194"/>
    <mergeCell ref="C193:C194"/>
    <mergeCell ref="D193:D194"/>
    <mergeCell ref="E193:E194"/>
    <mergeCell ref="F193:F194"/>
    <mergeCell ref="J197:J198"/>
    <mergeCell ref="AA197:AA198"/>
    <mergeCell ref="AB197:AB198"/>
    <mergeCell ref="J199:J200"/>
    <mergeCell ref="AA199:AA200"/>
    <mergeCell ref="AB199:AB200"/>
    <mergeCell ref="Z193:Z194"/>
    <mergeCell ref="AA193:AA194"/>
    <mergeCell ref="AB193:AB194"/>
    <mergeCell ref="J195:J196"/>
    <mergeCell ref="AA195:AA196"/>
    <mergeCell ref="AB195:AB196"/>
    <mergeCell ref="J201:J202"/>
    <mergeCell ref="AA201:AA202"/>
    <mergeCell ref="AB201:AB202"/>
    <mergeCell ref="A206:A207"/>
    <mergeCell ref="B206:B207"/>
    <mergeCell ref="C206:C207"/>
    <mergeCell ref="D206:D207"/>
    <mergeCell ref="E206:E207"/>
    <mergeCell ref="F206:G207"/>
    <mergeCell ref="H206:H207"/>
    <mergeCell ref="AB206:AB207"/>
    <mergeCell ref="I206:I207"/>
    <mergeCell ref="J208:J209"/>
    <mergeCell ref="AA208:AA209"/>
    <mergeCell ref="AB208:AB209"/>
    <mergeCell ref="F209:G209"/>
    <mergeCell ref="J210:J211"/>
    <mergeCell ref="AA210:AA211"/>
    <mergeCell ref="AB210:AB211"/>
    <mergeCell ref="F211:G211"/>
    <mergeCell ref="J206:J207"/>
    <mergeCell ref="K206:K207"/>
    <mergeCell ref="X206:X207"/>
    <mergeCell ref="Y206:Y207"/>
    <mergeCell ref="Z206:Z207"/>
    <mergeCell ref="AA206:AA207"/>
    <mergeCell ref="J216:J217"/>
    <mergeCell ref="AA216:AA217"/>
    <mergeCell ref="AB216:AB217"/>
    <mergeCell ref="F217:G217"/>
    <mergeCell ref="J218:J219"/>
    <mergeCell ref="AA218:AA219"/>
    <mergeCell ref="AB218:AB219"/>
    <mergeCell ref="F219:G219"/>
    <mergeCell ref="J212:J213"/>
    <mergeCell ref="AA212:AA213"/>
    <mergeCell ref="AB212:AB213"/>
    <mergeCell ref="F213:G213"/>
    <mergeCell ref="J214:J215"/>
    <mergeCell ref="AA214:AA215"/>
    <mergeCell ref="AB214:AB215"/>
    <mergeCell ref="F215:G215"/>
    <mergeCell ref="J229:J230"/>
    <mergeCell ref="AA229:AA230"/>
    <mergeCell ref="AB229:AB230"/>
    <mergeCell ref="F230:G230"/>
    <mergeCell ref="J231:J232"/>
    <mergeCell ref="AA231:AA232"/>
    <mergeCell ref="AB231:AB232"/>
    <mergeCell ref="F232:G232"/>
    <mergeCell ref="J222:J223"/>
    <mergeCell ref="AA222:AA223"/>
    <mergeCell ref="AB222:AB223"/>
    <mergeCell ref="F223:G223"/>
    <mergeCell ref="F226:G226"/>
    <mergeCell ref="J227:J228"/>
    <mergeCell ref="AA227:AA228"/>
    <mergeCell ref="AB227:AB228"/>
    <mergeCell ref="F228:G228"/>
    <mergeCell ref="J237:J238"/>
    <mergeCell ref="AA237:AA238"/>
    <mergeCell ref="AB237:AB238"/>
    <mergeCell ref="F238:G238"/>
    <mergeCell ref="J241:J242"/>
    <mergeCell ref="AA241:AA242"/>
    <mergeCell ref="AB241:AB242"/>
    <mergeCell ref="F242:G242"/>
    <mergeCell ref="J233:J234"/>
    <mergeCell ref="AA233:AA234"/>
    <mergeCell ref="AB233:AB234"/>
    <mergeCell ref="F234:G234"/>
    <mergeCell ref="J235:J236"/>
    <mergeCell ref="AA235:AA236"/>
    <mergeCell ref="AB235:AB236"/>
    <mergeCell ref="F236:G236"/>
    <mergeCell ref="J247:J248"/>
    <mergeCell ref="AA247:AA248"/>
    <mergeCell ref="AB247:AB248"/>
    <mergeCell ref="F248:G248"/>
    <mergeCell ref="J249:J250"/>
    <mergeCell ref="AA249:AA250"/>
    <mergeCell ref="AB249:AB250"/>
    <mergeCell ref="F250:G250"/>
    <mergeCell ref="A245:A246"/>
    <mergeCell ref="B245:B246"/>
    <mergeCell ref="C245:C246"/>
    <mergeCell ref="D245:D246"/>
    <mergeCell ref="E245:E246"/>
    <mergeCell ref="F245:G246"/>
    <mergeCell ref="J255:J256"/>
    <mergeCell ref="AA255:AA256"/>
    <mergeCell ref="AB255:AB256"/>
    <mergeCell ref="F256:G256"/>
    <mergeCell ref="J257:J258"/>
    <mergeCell ref="AA257:AA258"/>
    <mergeCell ref="AB257:AB258"/>
    <mergeCell ref="F258:G258"/>
    <mergeCell ref="J251:J252"/>
    <mergeCell ref="AA251:AA252"/>
    <mergeCell ref="AB251:AB252"/>
    <mergeCell ref="F252:G252"/>
    <mergeCell ref="J253:J254"/>
    <mergeCell ref="AA253:AA254"/>
    <mergeCell ref="AB253:AB254"/>
    <mergeCell ref="F254:G254"/>
    <mergeCell ref="J268:J269"/>
    <mergeCell ref="AA268:AA269"/>
    <mergeCell ref="AB268:AB269"/>
    <mergeCell ref="F269:G269"/>
    <mergeCell ref="J270:J271"/>
    <mergeCell ref="AA270:AA271"/>
    <mergeCell ref="AB270:AB271"/>
    <mergeCell ref="F271:G271"/>
    <mergeCell ref="J261:J262"/>
    <mergeCell ref="AA261:AA262"/>
    <mergeCell ref="AB261:AB262"/>
    <mergeCell ref="F262:G262"/>
    <mergeCell ref="F265:G265"/>
    <mergeCell ref="J266:J267"/>
    <mergeCell ref="AA266:AA267"/>
    <mergeCell ref="AB266:AB267"/>
    <mergeCell ref="F267:G267"/>
    <mergeCell ref="J279:J280"/>
    <mergeCell ref="AA279:AA280"/>
    <mergeCell ref="AB279:AB280"/>
    <mergeCell ref="J281:J282"/>
    <mergeCell ref="AA281:AA282"/>
    <mergeCell ref="AB281:AB282"/>
    <mergeCell ref="J275:J276"/>
    <mergeCell ref="AA275:AA276"/>
    <mergeCell ref="AB275:AB276"/>
    <mergeCell ref="J277:J278"/>
    <mergeCell ref="AA277:AA278"/>
    <mergeCell ref="AB277:AB278"/>
    <mergeCell ref="J283:J284"/>
    <mergeCell ref="AA283:AA284"/>
    <mergeCell ref="AB283:AB284"/>
    <mergeCell ref="A290:A291"/>
    <mergeCell ref="B290:B291"/>
    <mergeCell ref="C290:D291"/>
    <mergeCell ref="E290:E291"/>
    <mergeCell ref="F290:G291"/>
    <mergeCell ref="H290:H291"/>
    <mergeCell ref="J290:J291"/>
    <mergeCell ref="H303:H304"/>
    <mergeCell ref="J292:J294"/>
    <mergeCell ref="AA292:AA294"/>
    <mergeCell ref="AB292:AB294"/>
    <mergeCell ref="J295:J297"/>
    <mergeCell ref="AA295:AA297"/>
    <mergeCell ref="AB295:AB297"/>
    <mergeCell ref="K290:K291"/>
    <mergeCell ref="X290:X291"/>
    <mergeCell ref="Y290:Y291"/>
    <mergeCell ref="Z290:Z291"/>
    <mergeCell ref="AA290:AA291"/>
    <mergeCell ref="AB290:AB291"/>
    <mergeCell ref="A316:A317"/>
    <mergeCell ref="B316:B317"/>
    <mergeCell ref="C316:D317"/>
    <mergeCell ref="E316:E317"/>
    <mergeCell ref="F316:G317"/>
    <mergeCell ref="H316:H317"/>
    <mergeCell ref="AB303:AB304"/>
    <mergeCell ref="J305:J307"/>
    <mergeCell ref="AA305:AA307"/>
    <mergeCell ref="AB305:AB307"/>
    <mergeCell ref="J308:J310"/>
    <mergeCell ref="AA308:AA310"/>
    <mergeCell ref="AB308:AB310"/>
    <mergeCell ref="J303:J304"/>
    <mergeCell ref="K303:K304"/>
    <mergeCell ref="X303:X304"/>
    <mergeCell ref="Y303:Y304"/>
    <mergeCell ref="Z303:Z304"/>
    <mergeCell ref="AA303:AA304"/>
    <mergeCell ref="A303:A304"/>
    <mergeCell ref="B303:B304"/>
    <mergeCell ref="C303:D304"/>
    <mergeCell ref="E303:E304"/>
    <mergeCell ref="F303:G304"/>
    <mergeCell ref="AB316:AB317"/>
    <mergeCell ref="J318:J320"/>
    <mergeCell ref="AA318:AA320"/>
    <mergeCell ref="AB318:AB320"/>
    <mergeCell ref="J321:J323"/>
    <mergeCell ref="AA321:AA323"/>
    <mergeCell ref="AB321:AB323"/>
    <mergeCell ref="J316:J317"/>
    <mergeCell ref="K316:K317"/>
    <mergeCell ref="X316:X317"/>
    <mergeCell ref="Y316:Y317"/>
    <mergeCell ref="Z316:Z317"/>
    <mergeCell ref="AA316:AA317"/>
    <mergeCell ref="J324:J326"/>
    <mergeCell ref="AA324:AA326"/>
    <mergeCell ref="AB324:AB326"/>
    <mergeCell ref="A332:A333"/>
    <mergeCell ref="B332:B333"/>
    <mergeCell ref="C332:D333"/>
    <mergeCell ref="E332:E333"/>
    <mergeCell ref="F332:G333"/>
    <mergeCell ref="H332:H333"/>
    <mergeCell ref="J332:J333"/>
    <mergeCell ref="J334:J336"/>
    <mergeCell ref="AA334:AA336"/>
    <mergeCell ref="AB334:AB336"/>
    <mergeCell ref="J337:J339"/>
    <mergeCell ref="AA337:AA339"/>
    <mergeCell ref="AB337:AB339"/>
    <mergeCell ref="K332:K333"/>
    <mergeCell ref="X332:X333"/>
    <mergeCell ref="Y332:Y333"/>
    <mergeCell ref="Z332:Z333"/>
    <mergeCell ref="AA332:AA333"/>
    <mergeCell ref="AB332:AB333"/>
    <mergeCell ref="J340:J342"/>
    <mergeCell ref="AA340:AA342"/>
    <mergeCell ref="AB340:AB342"/>
    <mergeCell ref="A348:A349"/>
    <mergeCell ref="B348:B349"/>
    <mergeCell ref="C348:D349"/>
    <mergeCell ref="E348:E349"/>
    <mergeCell ref="F348:G349"/>
    <mergeCell ref="H348:H349"/>
    <mergeCell ref="J348:J349"/>
    <mergeCell ref="I348:I349"/>
    <mergeCell ref="H361:H362"/>
    <mergeCell ref="J350:J352"/>
    <mergeCell ref="AA350:AA352"/>
    <mergeCell ref="AB350:AB352"/>
    <mergeCell ref="J353:J355"/>
    <mergeCell ref="AA353:AA355"/>
    <mergeCell ref="AB353:AB355"/>
    <mergeCell ref="K348:K349"/>
    <mergeCell ref="X348:X349"/>
    <mergeCell ref="Y348:Y349"/>
    <mergeCell ref="Z348:Z349"/>
    <mergeCell ref="AA348:AA349"/>
    <mergeCell ref="AB348:AB349"/>
    <mergeCell ref="I361:I362"/>
    <mergeCell ref="C366:D366"/>
    <mergeCell ref="F366:G366"/>
    <mergeCell ref="A370:A371"/>
    <mergeCell ref="B370:B371"/>
    <mergeCell ref="C370:D371"/>
    <mergeCell ref="E370:E371"/>
    <mergeCell ref="F370:G371"/>
    <mergeCell ref="AB361:AB362"/>
    <mergeCell ref="J363:J364"/>
    <mergeCell ref="AA363:AA364"/>
    <mergeCell ref="AB363:AB364"/>
    <mergeCell ref="C364:D364"/>
    <mergeCell ref="F364:G364"/>
    <mergeCell ref="J361:J362"/>
    <mergeCell ref="K361:K362"/>
    <mergeCell ref="X361:X362"/>
    <mergeCell ref="Y361:Y362"/>
    <mergeCell ref="Z361:Z362"/>
    <mergeCell ref="AA361:AA362"/>
    <mergeCell ref="A361:A362"/>
    <mergeCell ref="B361:B362"/>
    <mergeCell ref="C361:D362"/>
    <mergeCell ref="E361:E362"/>
    <mergeCell ref="F361:G362"/>
    <mergeCell ref="H370:H371"/>
    <mergeCell ref="J370:J371"/>
    <mergeCell ref="K370:K371"/>
    <mergeCell ref="X370:X371"/>
    <mergeCell ref="Y370:Y371"/>
    <mergeCell ref="Z370:Z371"/>
    <mergeCell ref="J365:J366"/>
    <mergeCell ref="AA365:AA366"/>
    <mergeCell ref="AB365:AB366"/>
    <mergeCell ref="I370:I371"/>
    <mergeCell ref="J378:J380"/>
    <mergeCell ref="AA378:AA380"/>
    <mergeCell ref="AB378:AB380"/>
    <mergeCell ref="J381:J383"/>
    <mergeCell ref="AA381:AA383"/>
    <mergeCell ref="AB381:AB383"/>
    <mergeCell ref="AA370:AA371"/>
    <mergeCell ref="AB370:AB371"/>
    <mergeCell ref="J372:J374"/>
    <mergeCell ref="AA372:AA374"/>
    <mergeCell ref="AB372:AB374"/>
    <mergeCell ref="J375:J377"/>
    <mergeCell ref="AA375:AA377"/>
    <mergeCell ref="AB375:AB377"/>
    <mergeCell ref="J390:J392"/>
    <mergeCell ref="AA390:AA392"/>
    <mergeCell ref="AB390:AB392"/>
    <mergeCell ref="J384:J386"/>
    <mergeCell ref="AA384:AA386"/>
    <mergeCell ref="AB384:AB386"/>
    <mergeCell ref="J387:J389"/>
    <mergeCell ref="AA387:AA389"/>
    <mergeCell ref="AB387:AB389"/>
  </mergeCells>
  <dataValidations count="4">
    <dataValidation type="list" allowBlank="1" showInputMessage="1" showErrorMessage="1" sqref="H1" xr:uid="{5E6F85D0-D20E-4E95-961E-0DD77F52779D}">
      <formula1>"PRIMARY,GENERAL,N/A"</formula1>
    </dataValidation>
    <dataValidation type="list" allowBlank="1" showInputMessage="1" showErrorMessage="1" sqref="H2" xr:uid="{25778D9B-0E95-4D32-9F2C-EA11CF1186BB}">
      <formula1>"CANDIDATE,ISSUE,OTHER"</formula1>
    </dataValidation>
    <dataValidation type="list" allowBlank="1" showInputMessage="1" showErrorMessage="1" sqref="F1" xr:uid="{E75B45B2-F777-4D98-B77D-19C02AC33E4E}">
      <formula1>"YES,NO"</formula1>
    </dataValidation>
    <dataValidation type="list" allowBlank="1" showInputMessage="1" showErrorMessage="1" sqref="J340 J295 J59 J62 J94 J91 J318 J292 J72 J308 J305 J321 J324 J334 J353 J350 J375 J372 J378 J381 J384 J387 J390 J78 J75 J81 J337" xr:uid="{34BFA54B-F08B-4D3E-9C26-B8B71CD66EA9}">
      <formula1>"Yes, No"</formula1>
    </dataValidation>
  </dataValidations>
  <printOptions horizontalCentered="1" verticalCentered="1"/>
  <pageMargins left="0.2" right="0.2" top="0.25" bottom="0.2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4A00AFA-21C3-4824-9D99-7B2B8EDA0B0C}">
          <x14:formula1>
            <xm:f>'Digital Targeting'!$A$22:$A$100</xm:f>
          </x14:formula1>
          <xm:sqref>C366:D366 F366:G366 F364:G364 F335 F338 F319 C364:D364 F325 F322 F309 F306 F95 F293 F82 F92 F76 F79 F63 F341 F60 F296 F73 F351 F354</xm:sqref>
        </x14:dataValidation>
        <x14:dataValidation type="list" allowBlank="1" showInputMessage="1" showErrorMessage="1" xr:uid="{32A9E7BA-95A2-4679-9B62-A954EF07B800}">
          <x14:formula1>
            <xm:f>'Digital Targeting'!#REF!</xm:f>
          </x14:formula1>
          <xm:sqref>B366 B364</xm:sqref>
        </x14:dataValidation>
        <x14:dataValidation type="list" allowBlank="1" showInputMessage="1" showErrorMessage="1" xr:uid="{269380CF-E687-4D0D-B29D-22DFB2FBF263}">
          <x14:formula1>
            <xm:f>'Digital Targeting'!$B$526:$B$855</xm:f>
          </x14:formula1>
          <xm:sqref>E60 E296 E364 E354 E351 E341 E338 E335 E325 E322 E319 E309 E306 E95 E293 E366 E92 E73 E63 E79 E76 E82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/>
  </sheetPr>
  <dimension ref="A1:Z882"/>
  <sheetViews>
    <sheetView topLeftCell="F1" zoomScale="85" zoomScaleNormal="85" workbookViewId="0">
      <selection activeCell="E22" sqref="E22"/>
    </sheetView>
  </sheetViews>
  <sheetFormatPr defaultColWidth="11.08984375" defaultRowHeight="15" customHeight="1"/>
  <cols>
    <col min="1" max="6" width="46.36328125" customWidth="1"/>
    <col min="7" max="7" width="32.7265625" customWidth="1"/>
    <col min="8" max="8" width="30.90625" customWidth="1"/>
    <col min="9" max="13" width="25.90625" customWidth="1"/>
    <col min="14" max="26" width="11" customWidth="1"/>
  </cols>
  <sheetData>
    <row r="1" spans="1:26" ht="15.75" customHeight="1">
      <c r="A1" s="67" t="s">
        <v>129</v>
      </c>
      <c r="B1" s="67" t="s">
        <v>130</v>
      </c>
      <c r="C1" s="67" t="s">
        <v>772</v>
      </c>
      <c r="D1" s="219" t="s">
        <v>767</v>
      </c>
      <c r="E1" s="220"/>
      <c r="F1" s="220"/>
      <c r="G1" s="220"/>
      <c r="H1" s="187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5.75" customHeight="1">
      <c r="A2" s="80" t="s">
        <v>783</v>
      </c>
      <c r="B2" s="80" t="s">
        <v>784</v>
      </c>
      <c r="C2" s="68" t="s">
        <v>108</v>
      </c>
      <c r="D2" s="221"/>
      <c r="E2" s="222"/>
      <c r="F2" s="222"/>
      <c r="G2" s="222"/>
      <c r="H2" s="146">
        <f>G2/21</f>
        <v>0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5.75" customHeight="1">
      <c r="A3" s="80"/>
      <c r="B3" s="80" t="s">
        <v>788</v>
      </c>
      <c r="C3" s="68" t="s">
        <v>773</v>
      </c>
      <c r="D3" s="221" t="s">
        <v>768</v>
      </c>
      <c r="E3" s="222" t="s">
        <v>769</v>
      </c>
      <c r="F3" s="223" t="s">
        <v>770</v>
      </c>
      <c r="G3" s="222" t="s">
        <v>771</v>
      </c>
      <c r="H3" s="1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75" customHeight="1">
      <c r="A4" s="80"/>
      <c r="B4" s="80"/>
      <c r="C4" s="68"/>
      <c r="D4" s="224">
        <v>0.39</v>
      </c>
      <c r="E4" s="225">
        <v>47.06</v>
      </c>
      <c r="F4" s="225">
        <v>0.55000000000000004</v>
      </c>
      <c r="G4" s="224">
        <f>(E4/(E4+F4))*D4</f>
        <v>0.38549464398235667</v>
      </c>
      <c r="H4" s="3">
        <f>G4/21</f>
        <v>1.835688780868365E-2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5.75" customHeight="1">
      <c r="A5" s="80"/>
      <c r="B5" s="80"/>
      <c r="C5" s="68"/>
      <c r="D5" s="69"/>
      <c r="E5" s="70"/>
      <c r="F5" s="70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5.75" customHeight="1">
      <c r="A6" s="80"/>
      <c r="B6" s="80"/>
      <c r="C6" s="68"/>
      <c r="D6" s="69"/>
      <c r="E6" s="70"/>
      <c r="F6" s="70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5.75" customHeight="1">
      <c r="A7" s="80"/>
      <c r="B7" s="80"/>
      <c r="C7" s="68"/>
      <c r="D7" s="69"/>
      <c r="E7" s="70"/>
      <c r="F7" s="70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15.75" customHeight="1">
      <c r="A8" s="80"/>
      <c r="B8" s="80"/>
      <c r="C8" s="68"/>
      <c r="D8" s="69"/>
      <c r="E8" s="70"/>
      <c r="F8" s="70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15.75" customHeight="1">
      <c r="A9" s="80"/>
      <c r="B9" s="80"/>
      <c r="C9" s="68"/>
      <c r="D9" s="69"/>
      <c r="E9" s="70"/>
      <c r="F9" s="70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5.75" customHeight="1">
      <c r="A10" s="80"/>
      <c r="B10" s="80"/>
      <c r="C10" s="68"/>
      <c r="D10" s="69"/>
      <c r="E10" s="70"/>
      <c r="F10" s="70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15.75" customHeight="1">
      <c r="A11" s="81"/>
      <c r="B11" s="80"/>
      <c r="C11" s="68"/>
      <c r="D11" s="69"/>
      <c r="E11" s="70"/>
      <c r="F11" s="70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15.75" customHeight="1">
      <c r="A12" s="81"/>
      <c r="B12" s="80"/>
      <c r="C12" s="68"/>
      <c r="D12" s="69"/>
      <c r="E12" s="70"/>
      <c r="F12" s="70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5.75" customHeight="1">
      <c r="A13" s="81"/>
      <c r="B13" s="82"/>
      <c r="C13" s="68"/>
      <c r="D13" s="69"/>
      <c r="E13" s="70"/>
      <c r="F13" s="70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15.75" customHeight="1">
      <c r="A14" s="81"/>
      <c r="B14" s="82"/>
      <c r="C14" s="68"/>
      <c r="D14" s="69"/>
      <c r="E14" s="70"/>
      <c r="F14" s="70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5.75" customHeight="1">
      <c r="A15" s="81"/>
      <c r="B15" s="82"/>
      <c r="C15" s="68"/>
      <c r="D15" s="69"/>
      <c r="E15" s="70"/>
      <c r="F15" s="70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5.75" customHeight="1">
      <c r="A16" s="81"/>
      <c r="B16" s="82"/>
      <c r="C16" s="68"/>
      <c r="D16" s="69"/>
      <c r="E16" s="70"/>
      <c r="F16" s="70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5.75" customHeight="1">
      <c r="A17" s="81"/>
      <c r="B17" s="82"/>
      <c r="C17" s="68"/>
      <c r="D17" s="69"/>
      <c r="E17" s="70"/>
      <c r="F17" s="70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5.75" customHeight="1">
      <c r="A18" s="81"/>
      <c r="B18" s="82"/>
      <c r="C18" s="68"/>
      <c r="D18" s="69"/>
      <c r="E18" s="70"/>
      <c r="F18" s="70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5.75" customHeight="1">
      <c r="A19" s="81"/>
      <c r="B19" s="82"/>
      <c r="C19" s="68"/>
      <c r="D19" s="69"/>
      <c r="E19" s="70"/>
      <c r="F19" s="70"/>
      <c r="G19" s="236">
        <v>7</v>
      </c>
      <c r="H19" s="236">
        <v>8</v>
      </c>
      <c r="I19" s="236">
        <v>9</v>
      </c>
      <c r="J19" s="236">
        <v>10</v>
      </c>
      <c r="K19" s="236">
        <v>11</v>
      </c>
      <c r="L19" s="236">
        <v>12</v>
      </c>
      <c r="M19" s="236">
        <v>13</v>
      </c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5.75" customHeight="1">
      <c r="A20" s="81"/>
      <c r="B20" s="82"/>
      <c r="C20" s="68"/>
      <c r="D20" s="69"/>
      <c r="E20" s="70"/>
      <c r="F20" s="70"/>
      <c r="G20" s="265" t="s">
        <v>777</v>
      </c>
      <c r="H20" s="265"/>
      <c r="I20" s="265"/>
      <c r="J20" s="265"/>
      <c r="K20" s="265"/>
      <c r="L20" s="265"/>
      <c r="M20" s="265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5.75" customHeight="1">
      <c r="A21" s="72" t="s">
        <v>131</v>
      </c>
      <c r="B21" s="73" t="s">
        <v>106</v>
      </c>
      <c r="C21" s="74" t="s">
        <v>132</v>
      </c>
      <c r="D21" s="73" t="s">
        <v>107</v>
      </c>
      <c r="E21" s="72" t="s">
        <v>133</v>
      </c>
      <c r="F21" s="72" t="s">
        <v>134</v>
      </c>
      <c r="G21" s="232" t="s">
        <v>782</v>
      </c>
      <c r="H21" s="72" t="s">
        <v>780</v>
      </c>
      <c r="I21" s="72" t="s">
        <v>781</v>
      </c>
      <c r="J21" s="72" t="s">
        <v>785</v>
      </c>
      <c r="K21" s="72" t="s">
        <v>786</v>
      </c>
      <c r="L21" s="72" t="s">
        <v>779</v>
      </c>
      <c r="M21" s="72" t="s">
        <v>778</v>
      </c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5.75" customHeight="1">
      <c r="A22" s="71" t="str">
        <f>IF(OR(D22="", LOWER(D22)="english"),
     B22 &amp; " - " &amp; C22,
     B22 &amp; " - " &amp; C22 &amp; " (" &amp; D22 &amp; ")"
)</f>
        <v>USA - Healthcare Engaged</v>
      </c>
      <c r="B22" s="80" t="s">
        <v>783</v>
      </c>
      <c r="C22" s="80" t="s">
        <v>784</v>
      </c>
      <c r="D22" s="83" t="s">
        <v>108</v>
      </c>
      <c r="E22" s="84">
        <v>66994200</v>
      </c>
      <c r="F22" s="80"/>
      <c r="G22" s="226">
        <v>0.79</v>
      </c>
      <c r="H22" s="226">
        <v>0.59</v>
      </c>
      <c r="I22" s="226">
        <v>0.04</v>
      </c>
      <c r="J22" s="226">
        <v>0.57999999999999996</v>
      </c>
      <c r="K22" s="226">
        <v>0.63</v>
      </c>
      <c r="L22" s="226">
        <v>0.91</v>
      </c>
      <c r="M22" s="226">
        <v>0.88</v>
      </c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5.75" customHeight="1">
      <c r="A23" s="71" t="str">
        <f>IF(OR(D23="", LOWER(D23)="english"),
     B23 &amp; " - " &amp; C23,
     B23 &amp; " - " &amp; C23 &amp; " (" &amp; D23 &amp; ")"
)</f>
        <v>USA - Test</v>
      </c>
      <c r="B23" s="80" t="s">
        <v>783</v>
      </c>
      <c r="C23" s="80" t="s">
        <v>788</v>
      </c>
      <c r="D23" s="83" t="s">
        <v>108</v>
      </c>
      <c r="E23" s="84">
        <v>100000</v>
      </c>
      <c r="F23" s="80"/>
      <c r="G23" s="226">
        <v>0.8</v>
      </c>
      <c r="H23" s="226">
        <v>0.5</v>
      </c>
      <c r="I23" s="226">
        <v>0.05</v>
      </c>
      <c r="J23" s="226">
        <v>0.75</v>
      </c>
      <c r="K23" s="226">
        <v>0.4</v>
      </c>
      <c r="L23" s="226">
        <v>0.8</v>
      </c>
      <c r="M23" s="226">
        <v>0.7</v>
      </c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5.75" customHeight="1">
      <c r="A24" s="71" t="str">
        <f t="shared" ref="A24:A71" si="0">IF(OR(D24="", LOWER(D24)="english"),
     B24 &amp; " - " &amp; C24,
     B24 &amp; " - " &amp; C24 &amp; " (" &amp; D24 &amp; ")"
)</f>
        <v xml:space="preserve"> - </v>
      </c>
      <c r="B24" s="80"/>
      <c r="C24" s="80"/>
      <c r="D24" s="83" t="s">
        <v>108</v>
      </c>
      <c r="E24" s="85"/>
      <c r="F24" s="80"/>
      <c r="G24" s="226"/>
      <c r="H24" s="226"/>
      <c r="I24" s="226"/>
      <c r="J24" s="226"/>
      <c r="K24" s="226"/>
      <c r="L24" s="226"/>
      <c r="M24" s="226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5.75" customHeight="1">
      <c r="A25" s="71" t="str">
        <f t="shared" si="0"/>
        <v xml:space="preserve"> - </v>
      </c>
      <c r="B25" s="80"/>
      <c r="C25" s="80"/>
      <c r="D25" s="83" t="s">
        <v>108</v>
      </c>
      <c r="E25" s="84"/>
      <c r="F25" s="80"/>
      <c r="G25" s="226"/>
      <c r="H25" s="226"/>
      <c r="I25" s="226"/>
      <c r="J25" s="226"/>
      <c r="K25" s="226"/>
      <c r="L25" s="226"/>
      <c r="M25" s="226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5.75" customHeight="1">
      <c r="A26" s="71" t="str">
        <f t="shared" si="0"/>
        <v xml:space="preserve"> - </v>
      </c>
      <c r="B26" s="80"/>
      <c r="C26" s="80"/>
      <c r="D26" s="83" t="s">
        <v>108</v>
      </c>
      <c r="E26" s="84"/>
      <c r="F26" s="80"/>
      <c r="G26" s="226"/>
      <c r="H26" s="226"/>
      <c r="I26" s="226"/>
      <c r="J26" s="226"/>
      <c r="K26" s="226"/>
      <c r="L26" s="226"/>
      <c r="M26" s="226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5.75" customHeight="1">
      <c r="A27" s="71" t="str">
        <f t="shared" si="0"/>
        <v xml:space="preserve"> - </v>
      </c>
      <c r="B27" s="80"/>
      <c r="C27" s="80"/>
      <c r="D27" s="83" t="s">
        <v>108</v>
      </c>
      <c r="E27" s="84"/>
      <c r="F27" s="80"/>
      <c r="G27" s="226"/>
      <c r="H27" s="226"/>
      <c r="I27" s="226"/>
      <c r="J27" s="226"/>
      <c r="K27" s="226"/>
      <c r="L27" s="226"/>
      <c r="M27" s="226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5.75" customHeight="1">
      <c r="A28" s="71" t="str">
        <f>IF(OR(D28="", LOWER(D28)="english"),
     B28 &amp; " - " &amp; C28,
     B28 &amp; " - " &amp; C28 &amp; " (" &amp; D28 &amp; ")"
)</f>
        <v xml:space="preserve"> - </v>
      </c>
      <c r="B28" s="80"/>
      <c r="C28" s="80"/>
      <c r="D28" s="83" t="s">
        <v>108</v>
      </c>
      <c r="E28" s="84"/>
      <c r="F28" s="86"/>
      <c r="G28" s="226"/>
      <c r="H28" s="226"/>
      <c r="I28" s="226"/>
      <c r="J28" s="226"/>
      <c r="K28" s="226"/>
      <c r="L28" s="226"/>
      <c r="M28" s="226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5.75" customHeight="1">
      <c r="A29" s="71" t="str">
        <f t="shared" si="0"/>
        <v xml:space="preserve"> - </v>
      </c>
      <c r="B29" s="80"/>
      <c r="C29" s="80"/>
      <c r="D29" s="83" t="s">
        <v>108</v>
      </c>
      <c r="E29" s="84"/>
      <c r="F29" s="80"/>
      <c r="G29" s="226"/>
      <c r="H29" s="226"/>
      <c r="I29" s="226"/>
      <c r="J29" s="226"/>
      <c r="K29" s="226"/>
      <c r="L29" s="226"/>
      <c r="M29" s="226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5.75" customHeight="1">
      <c r="A30" s="71" t="str">
        <f t="shared" si="0"/>
        <v xml:space="preserve"> - </v>
      </c>
      <c r="B30" s="80"/>
      <c r="C30" s="80"/>
      <c r="D30" s="83" t="s">
        <v>108</v>
      </c>
      <c r="E30" s="84"/>
      <c r="F30" s="86"/>
      <c r="G30" s="226"/>
      <c r="H30" s="226"/>
      <c r="I30" s="226"/>
      <c r="J30" s="226"/>
      <c r="K30" s="226"/>
      <c r="L30" s="226"/>
      <c r="M30" s="226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5.75" customHeight="1">
      <c r="A31" s="71" t="str">
        <f t="shared" si="0"/>
        <v xml:space="preserve"> - </v>
      </c>
      <c r="B31" s="80"/>
      <c r="C31" s="80"/>
      <c r="D31" s="83" t="s">
        <v>108</v>
      </c>
      <c r="E31" s="84"/>
      <c r="F31" s="80"/>
      <c r="G31" s="226"/>
      <c r="H31" s="226"/>
      <c r="I31" s="226"/>
      <c r="J31" s="226"/>
      <c r="K31" s="226"/>
      <c r="L31" s="226"/>
      <c r="M31" s="226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5.75" customHeight="1">
      <c r="A32" s="71" t="str">
        <f t="shared" si="0"/>
        <v xml:space="preserve"> - </v>
      </c>
      <c r="B32" s="80"/>
      <c r="C32" s="80"/>
      <c r="D32" s="83" t="s">
        <v>108</v>
      </c>
      <c r="E32" s="84"/>
      <c r="F32" s="80"/>
      <c r="G32" s="226"/>
      <c r="H32" s="226"/>
      <c r="I32" s="226"/>
      <c r="J32" s="226"/>
      <c r="K32" s="226"/>
      <c r="L32" s="226"/>
      <c r="M32" s="226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5.75" customHeight="1">
      <c r="A33" s="71" t="str">
        <f t="shared" si="0"/>
        <v xml:space="preserve"> - </v>
      </c>
      <c r="B33" s="80"/>
      <c r="C33" s="80"/>
      <c r="D33" s="83" t="s">
        <v>108</v>
      </c>
      <c r="E33" s="84"/>
      <c r="F33" s="80"/>
      <c r="G33" s="226"/>
      <c r="H33" s="226"/>
      <c r="I33" s="226"/>
      <c r="J33" s="226"/>
      <c r="K33" s="226"/>
      <c r="L33" s="226"/>
      <c r="M33" s="226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5.75" customHeight="1">
      <c r="A34" s="71" t="str">
        <f t="shared" si="0"/>
        <v xml:space="preserve"> - </v>
      </c>
      <c r="B34" s="80"/>
      <c r="C34" s="80"/>
      <c r="D34" s="83" t="s">
        <v>108</v>
      </c>
      <c r="E34" s="84"/>
      <c r="F34" s="80"/>
      <c r="G34" s="226"/>
      <c r="H34" s="226"/>
      <c r="I34" s="226"/>
      <c r="J34" s="226"/>
      <c r="K34" s="226"/>
      <c r="L34" s="226"/>
      <c r="M34" s="226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5.75" customHeight="1">
      <c r="A35" s="71" t="str">
        <f t="shared" si="0"/>
        <v xml:space="preserve"> - </v>
      </c>
      <c r="B35" s="80"/>
      <c r="C35" s="80"/>
      <c r="D35" s="83" t="s">
        <v>108</v>
      </c>
      <c r="E35" s="84"/>
      <c r="F35" s="80"/>
      <c r="G35" s="226"/>
      <c r="H35" s="226"/>
      <c r="I35" s="226"/>
      <c r="J35" s="226"/>
      <c r="K35" s="226"/>
      <c r="L35" s="226"/>
      <c r="M35" s="226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5.75" customHeight="1">
      <c r="A36" s="71" t="str">
        <f t="shared" si="0"/>
        <v xml:space="preserve"> - </v>
      </c>
      <c r="B36" s="80"/>
      <c r="C36" s="80"/>
      <c r="D36" s="83" t="s">
        <v>108</v>
      </c>
      <c r="E36" s="84"/>
      <c r="F36" s="80"/>
      <c r="G36" s="226"/>
      <c r="H36" s="226"/>
      <c r="I36" s="226"/>
      <c r="J36" s="226"/>
      <c r="K36" s="226"/>
      <c r="L36" s="226"/>
      <c r="M36" s="226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5.75" customHeight="1">
      <c r="A37" s="71" t="str">
        <f t="shared" si="0"/>
        <v xml:space="preserve"> - </v>
      </c>
      <c r="B37" s="80"/>
      <c r="C37" s="80"/>
      <c r="D37" s="83" t="s">
        <v>108</v>
      </c>
      <c r="E37" s="84"/>
      <c r="F37" s="80"/>
      <c r="G37" s="226"/>
      <c r="H37" s="226"/>
      <c r="I37" s="226"/>
      <c r="J37" s="226"/>
      <c r="K37" s="226"/>
      <c r="L37" s="226"/>
      <c r="M37" s="226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5.75" customHeight="1">
      <c r="A38" s="71" t="str">
        <f t="shared" si="0"/>
        <v xml:space="preserve"> - </v>
      </c>
      <c r="B38" s="80"/>
      <c r="C38" s="80"/>
      <c r="D38" s="83" t="s">
        <v>108</v>
      </c>
      <c r="E38" s="84"/>
      <c r="F38" s="80"/>
      <c r="G38" s="226"/>
      <c r="H38" s="226"/>
      <c r="I38" s="226"/>
      <c r="J38" s="226"/>
      <c r="K38" s="226"/>
      <c r="L38" s="226"/>
      <c r="M38" s="226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5.75" customHeight="1">
      <c r="A39" s="71" t="str">
        <f t="shared" si="0"/>
        <v xml:space="preserve"> - </v>
      </c>
      <c r="B39" s="80"/>
      <c r="C39" s="80"/>
      <c r="D39" s="83" t="s">
        <v>108</v>
      </c>
      <c r="E39" s="84"/>
      <c r="F39" s="80"/>
      <c r="G39" s="226"/>
      <c r="H39" s="226"/>
      <c r="I39" s="226"/>
      <c r="J39" s="226"/>
      <c r="K39" s="226"/>
      <c r="L39" s="226"/>
      <c r="M39" s="226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5.75" customHeight="1">
      <c r="A40" s="71" t="str">
        <f t="shared" si="0"/>
        <v xml:space="preserve"> - </v>
      </c>
      <c r="B40" s="80"/>
      <c r="C40" s="80"/>
      <c r="D40" s="83" t="s">
        <v>108</v>
      </c>
      <c r="E40" s="84"/>
      <c r="F40" s="80"/>
      <c r="G40" s="226"/>
      <c r="H40" s="226"/>
      <c r="I40" s="226"/>
      <c r="J40" s="226"/>
      <c r="K40" s="226"/>
      <c r="L40" s="226"/>
      <c r="M40" s="226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5.75" customHeight="1">
      <c r="A41" s="71" t="str">
        <f t="shared" si="0"/>
        <v xml:space="preserve"> - </v>
      </c>
      <c r="B41" s="80"/>
      <c r="C41" s="80"/>
      <c r="D41" s="83" t="s">
        <v>108</v>
      </c>
      <c r="E41" s="84"/>
      <c r="F41" s="80"/>
      <c r="G41" s="226"/>
      <c r="H41" s="226"/>
      <c r="I41" s="226"/>
      <c r="J41" s="226"/>
      <c r="K41" s="226"/>
      <c r="L41" s="226"/>
      <c r="M41" s="226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5.75" customHeight="1">
      <c r="A42" s="71" t="str">
        <f t="shared" si="0"/>
        <v xml:space="preserve"> - </v>
      </c>
      <c r="B42" s="80"/>
      <c r="C42" s="80"/>
      <c r="D42" s="83" t="s">
        <v>108</v>
      </c>
      <c r="E42" s="84"/>
      <c r="F42" s="80"/>
      <c r="G42" s="226"/>
      <c r="H42" s="226"/>
      <c r="I42" s="226"/>
      <c r="J42" s="226"/>
      <c r="K42" s="226"/>
      <c r="L42" s="226"/>
      <c r="M42" s="226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5.75" customHeight="1">
      <c r="A43" s="71" t="str">
        <f t="shared" si="0"/>
        <v xml:space="preserve"> - </v>
      </c>
      <c r="B43" s="80"/>
      <c r="C43" s="80"/>
      <c r="D43" s="83" t="s">
        <v>108</v>
      </c>
      <c r="E43" s="84"/>
      <c r="F43" s="80"/>
      <c r="G43" s="226"/>
      <c r="H43" s="226"/>
      <c r="I43" s="226"/>
      <c r="J43" s="226"/>
      <c r="K43" s="226"/>
      <c r="L43" s="226"/>
      <c r="M43" s="226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5.75" customHeight="1">
      <c r="A44" s="71" t="str">
        <f t="shared" si="0"/>
        <v xml:space="preserve"> - </v>
      </c>
      <c r="B44" s="80"/>
      <c r="C44" s="80"/>
      <c r="D44" s="83" t="s">
        <v>108</v>
      </c>
      <c r="E44" s="84"/>
      <c r="F44" s="80"/>
      <c r="G44" s="226"/>
      <c r="H44" s="226"/>
      <c r="I44" s="226"/>
      <c r="J44" s="226"/>
      <c r="K44" s="226"/>
      <c r="L44" s="226"/>
      <c r="M44" s="226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5.75" customHeight="1">
      <c r="A45" s="71" t="str">
        <f t="shared" si="0"/>
        <v xml:space="preserve"> - </v>
      </c>
      <c r="B45" s="80"/>
      <c r="C45" s="80"/>
      <c r="D45" s="83" t="s">
        <v>108</v>
      </c>
      <c r="E45" s="84"/>
      <c r="F45" s="80"/>
      <c r="G45" s="226"/>
      <c r="H45" s="226"/>
      <c r="I45" s="226"/>
      <c r="J45" s="226"/>
      <c r="K45" s="226"/>
      <c r="L45" s="226"/>
      <c r="M45" s="226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5.75" customHeight="1">
      <c r="A46" s="71" t="str">
        <f t="shared" si="0"/>
        <v xml:space="preserve"> - </v>
      </c>
      <c r="B46" s="80"/>
      <c r="C46" s="80"/>
      <c r="D46" s="83" t="s">
        <v>108</v>
      </c>
      <c r="E46" s="84"/>
      <c r="F46" s="80"/>
      <c r="G46" s="226"/>
      <c r="H46" s="226"/>
      <c r="I46" s="226"/>
      <c r="J46" s="226"/>
      <c r="K46" s="226"/>
      <c r="L46" s="226"/>
      <c r="M46" s="226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5.75" customHeight="1">
      <c r="A47" s="71" t="str">
        <f t="shared" si="0"/>
        <v xml:space="preserve"> - </v>
      </c>
      <c r="B47" s="80"/>
      <c r="C47" s="80"/>
      <c r="D47" s="83" t="s">
        <v>108</v>
      </c>
      <c r="E47" s="84"/>
      <c r="F47" s="80"/>
      <c r="G47" s="226"/>
      <c r="H47" s="226"/>
      <c r="I47" s="226"/>
      <c r="J47" s="226"/>
      <c r="K47" s="226"/>
      <c r="L47" s="226"/>
      <c r="M47" s="226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5.75" customHeight="1">
      <c r="A48" s="71" t="str">
        <f t="shared" si="0"/>
        <v xml:space="preserve"> - </v>
      </c>
      <c r="B48" s="80"/>
      <c r="C48" s="80"/>
      <c r="D48" s="83" t="s">
        <v>108</v>
      </c>
      <c r="E48" s="84"/>
      <c r="F48" s="80"/>
      <c r="G48" s="226"/>
      <c r="H48" s="226"/>
      <c r="I48" s="226"/>
      <c r="J48" s="226"/>
      <c r="K48" s="226"/>
      <c r="L48" s="226"/>
      <c r="M48" s="226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5.75" customHeight="1">
      <c r="A49" s="71" t="str">
        <f t="shared" si="0"/>
        <v xml:space="preserve"> - </v>
      </c>
      <c r="B49" s="80"/>
      <c r="C49" s="80"/>
      <c r="D49" s="83" t="s">
        <v>108</v>
      </c>
      <c r="E49" s="84"/>
      <c r="F49" s="80"/>
      <c r="G49" s="226"/>
      <c r="H49" s="226"/>
      <c r="I49" s="226"/>
      <c r="J49" s="226"/>
      <c r="K49" s="226"/>
      <c r="L49" s="226"/>
      <c r="M49" s="226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5.75" customHeight="1">
      <c r="A50" s="71" t="str">
        <f t="shared" si="0"/>
        <v xml:space="preserve"> - </v>
      </c>
      <c r="B50" s="80"/>
      <c r="C50" s="80"/>
      <c r="D50" s="83" t="s">
        <v>108</v>
      </c>
      <c r="E50" s="84"/>
      <c r="F50" s="80"/>
      <c r="G50" s="226"/>
      <c r="H50" s="226"/>
      <c r="I50" s="226"/>
      <c r="J50" s="226"/>
      <c r="K50" s="226"/>
      <c r="L50" s="226"/>
      <c r="M50" s="226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5.75" customHeight="1">
      <c r="A51" s="71" t="str">
        <f t="shared" si="0"/>
        <v xml:space="preserve"> - </v>
      </c>
      <c r="B51" s="80"/>
      <c r="C51" s="80"/>
      <c r="D51" s="83" t="s">
        <v>108</v>
      </c>
      <c r="E51" s="84"/>
      <c r="F51" s="80"/>
      <c r="G51" s="226"/>
      <c r="H51" s="226"/>
      <c r="I51" s="226"/>
      <c r="J51" s="226"/>
      <c r="K51" s="226"/>
      <c r="L51" s="226"/>
      <c r="M51" s="226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5.75" customHeight="1">
      <c r="A52" s="71" t="str">
        <f t="shared" si="0"/>
        <v xml:space="preserve"> - </v>
      </c>
      <c r="B52" s="80"/>
      <c r="C52" s="80"/>
      <c r="D52" s="83" t="s">
        <v>108</v>
      </c>
      <c r="E52" s="84"/>
      <c r="F52" s="80"/>
      <c r="G52" s="226"/>
      <c r="H52" s="226"/>
      <c r="I52" s="226"/>
      <c r="J52" s="226"/>
      <c r="K52" s="226"/>
      <c r="L52" s="226"/>
      <c r="M52" s="226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5.75" customHeight="1">
      <c r="A53" s="71" t="str">
        <f t="shared" si="0"/>
        <v xml:space="preserve"> - </v>
      </c>
      <c r="B53" s="80"/>
      <c r="C53" s="80"/>
      <c r="D53" s="83" t="s">
        <v>108</v>
      </c>
      <c r="E53" s="84"/>
      <c r="F53" s="80"/>
      <c r="G53" s="226"/>
      <c r="H53" s="226"/>
      <c r="I53" s="226"/>
      <c r="J53" s="226"/>
      <c r="K53" s="226"/>
      <c r="L53" s="226"/>
      <c r="M53" s="226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5.75" customHeight="1">
      <c r="A54" s="71" t="str">
        <f t="shared" si="0"/>
        <v xml:space="preserve"> - </v>
      </c>
      <c r="B54" s="80"/>
      <c r="C54" s="80"/>
      <c r="D54" s="83" t="s">
        <v>108</v>
      </c>
      <c r="E54" s="84"/>
      <c r="F54" s="80"/>
      <c r="G54" s="226"/>
      <c r="H54" s="226"/>
      <c r="I54" s="226"/>
      <c r="J54" s="226"/>
      <c r="K54" s="226"/>
      <c r="L54" s="226"/>
      <c r="M54" s="226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5.75" customHeight="1">
      <c r="A55" s="71" t="str">
        <f t="shared" si="0"/>
        <v xml:space="preserve"> - </v>
      </c>
      <c r="B55" s="80"/>
      <c r="C55" s="80"/>
      <c r="D55" s="83" t="s">
        <v>108</v>
      </c>
      <c r="E55" s="84"/>
      <c r="F55" s="80"/>
      <c r="G55" s="226"/>
      <c r="H55" s="226"/>
      <c r="I55" s="226"/>
      <c r="J55" s="226"/>
      <c r="K55" s="226"/>
      <c r="L55" s="226"/>
      <c r="M55" s="226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5.75" customHeight="1">
      <c r="A56" s="71" t="str">
        <f t="shared" si="0"/>
        <v xml:space="preserve"> - </v>
      </c>
      <c r="B56" s="80"/>
      <c r="C56" s="80"/>
      <c r="D56" s="83" t="s">
        <v>108</v>
      </c>
      <c r="E56" s="84"/>
      <c r="F56" s="80"/>
      <c r="G56" s="226"/>
      <c r="H56" s="226"/>
      <c r="I56" s="226"/>
      <c r="J56" s="226"/>
      <c r="K56" s="226"/>
      <c r="L56" s="226"/>
      <c r="M56" s="226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5.75" customHeight="1">
      <c r="A57" s="71" t="str">
        <f t="shared" si="0"/>
        <v xml:space="preserve"> - </v>
      </c>
      <c r="B57" s="80"/>
      <c r="C57" s="80"/>
      <c r="D57" s="83" t="s">
        <v>108</v>
      </c>
      <c r="E57" s="84"/>
      <c r="F57" s="80"/>
      <c r="G57" s="226"/>
      <c r="H57" s="226"/>
      <c r="I57" s="226"/>
      <c r="J57" s="226"/>
      <c r="K57" s="226"/>
      <c r="L57" s="226"/>
      <c r="M57" s="226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5.75" customHeight="1">
      <c r="A58" s="71" t="str">
        <f t="shared" si="0"/>
        <v xml:space="preserve"> - </v>
      </c>
      <c r="B58" s="80"/>
      <c r="C58" s="80"/>
      <c r="D58" s="83" t="s">
        <v>108</v>
      </c>
      <c r="E58" s="84"/>
      <c r="F58" s="80"/>
      <c r="G58" s="226"/>
      <c r="H58" s="226"/>
      <c r="I58" s="226"/>
      <c r="J58" s="226"/>
      <c r="K58" s="226"/>
      <c r="L58" s="226"/>
      <c r="M58" s="226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5.75" customHeight="1">
      <c r="A59" s="71" t="str">
        <f t="shared" si="0"/>
        <v xml:space="preserve"> - </v>
      </c>
      <c r="B59" s="80"/>
      <c r="C59" s="80"/>
      <c r="D59" s="83" t="s">
        <v>108</v>
      </c>
      <c r="E59" s="84"/>
      <c r="F59" s="80"/>
      <c r="G59" s="226"/>
      <c r="H59" s="226"/>
      <c r="I59" s="226"/>
      <c r="J59" s="226"/>
      <c r="K59" s="226"/>
      <c r="L59" s="226"/>
      <c r="M59" s="226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5.75" customHeight="1">
      <c r="A60" s="71" t="str">
        <f t="shared" si="0"/>
        <v xml:space="preserve"> - </v>
      </c>
      <c r="B60" s="80"/>
      <c r="C60" s="80"/>
      <c r="D60" s="83" t="s">
        <v>108</v>
      </c>
      <c r="E60" s="84"/>
      <c r="F60" s="80"/>
      <c r="G60" s="226"/>
      <c r="H60" s="226"/>
      <c r="I60" s="226"/>
      <c r="J60" s="226"/>
      <c r="K60" s="226"/>
      <c r="L60" s="226"/>
      <c r="M60" s="226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5.75" customHeight="1">
      <c r="A61" s="71" t="str">
        <f t="shared" si="0"/>
        <v xml:space="preserve"> - </v>
      </c>
      <c r="B61" s="80"/>
      <c r="C61" s="80"/>
      <c r="D61" s="83" t="s">
        <v>108</v>
      </c>
      <c r="E61" s="84"/>
      <c r="F61" s="80"/>
      <c r="G61" s="226"/>
      <c r="H61" s="226"/>
      <c r="I61" s="226"/>
      <c r="J61" s="226"/>
      <c r="K61" s="226"/>
      <c r="L61" s="226"/>
      <c r="M61" s="226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5.75" customHeight="1">
      <c r="A62" s="71" t="str">
        <f t="shared" si="0"/>
        <v xml:space="preserve"> - </v>
      </c>
      <c r="B62" s="80"/>
      <c r="C62" s="80"/>
      <c r="D62" s="83" t="s">
        <v>108</v>
      </c>
      <c r="E62" s="84"/>
      <c r="F62" s="80"/>
      <c r="G62" s="226"/>
      <c r="H62" s="226"/>
      <c r="I62" s="226"/>
      <c r="J62" s="226"/>
      <c r="K62" s="226"/>
      <c r="L62" s="226"/>
      <c r="M62" s="226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5.75" customHeight="1">
      <c r="A63" s="71" t="str">
        <f t="shared" si="0"/>
        <v xml:space="preserve"> - </v>
      </c>
      <c r="B63" s="80"/>
      <c r="C63" s="80"/>
      <c r="D63" s="83" t="s">
        <v>108</v>
      </c>
      <c r="E63" s="84"/>
      <c r="F63" s="80"/>
      <c r="G63" s="226"/>
      <c r="H63" s="226"/>
      <c r="I63" s="226"/>
      <c r="J63" s="226"/>
      <c r="K63" s="226"/>
      <c r="L63" s="226"/>
      <c r="M63" s="226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5.75" customHeight="1">
      <c r="A64" s="71" t="str">
        <f t="shared" si="0"/>
        <v xml:space="preserve"> - </v>
      </c>
      <c r="B64" s="80"/>
      <c r="C64" s="80"/>
      <c r="D64" s="83" t="s">
        <v>108</v>
      </c>
      <c r="E64" s="84"/>
      <c r="F64" s="80"/>
      <c r="G64" s="226"/>
      <c r="H64" s="226"/>
      <c r="I64" s="226"/>
      <c r="J64" s="226"/>
      <c r="K64" s="226"/>
      <c r="L64" s="226"/>
      <c r="M64" s="226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5.75" customHeight="1">
      <c r="A65" s="71" t="str">
        <f t="shared" si="0"/>
        <v xml:space="preserve"> - </v>
      </c>
      <c r="B65" s="80"/>
      <c r="C65" s="80"/>
      <c r="D65" s="83" t="s">
        <v>108</v>
      </c>
      <c r="E65" s="84"/>
      <c r="F65" s="80"/>
      <c r="G65" s="226"/>
      <c r="H65" s="226"/>
      <c r="I65" s="226"/>
      <c r="J65" s="226"/>
      <c r="K65" s="226"/>
      <c r="L65" s="226"/>
      <c r="M65" s="226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5.75" customHeight="1">
      <c r="A66" s="71" t="str">
        <f t="shared" si="0"/>
        <v xml:space="preserve"> - </v>
      </c>
      <c r="B66" s="80"/>
      <c r="C66" s="80"/>
      <c r="D66" s="83" t="s">
        <v>108</v>
      </c>
      <c r="E66" s="84"/>
      <c r="F66" s="80"/>
      <c r="G66" s="226"/>
      <c r="H66" s="226"/>
      <c r="I66" s="226"/>
      <c r="J66" s="226"/>
      <c r="K66" s="226"/>
      <c r="L66" s="226"/>
      <c r="M66" s="226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5.75" customHeight="1">
      <c r="A67" s="71" t="str">
        <f t="shared" si="0"/>
        <v xml:space="preserve"> - </v>
      </c>
      <c r="B67" s="80"/>
      <c r="C67" s="80"/>
      <c r="D67" s="83"/>
      <c r="E67" s="84"/>
      <c r="F67" s="80"/>
      <c r="G67" s="226"/>
      <c r="H67" s="226"/>
      <c r="I67" s="226"/>
      <c r="J67" s="226"/>
      <c r="K67" s="226"/>
      <c r="L67" s="226"/>
      <c r="M67" s="226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5.75" customHeight="1">
      <c r="A68" s="71" t="str">
        <f t="shared" si="0"/>
        <v xml:space="preserve"> - </v>
      </c>
      <c r="B68" s="80"/>
      <c r="C68" s="80"/>
      <c r="D68" s="83"/>
      <c r="E68" s="84"/>
      <c r="F68" s="80"/>
      <c r="G68" s="226"/>
      <c r="H68" s="226"/>
      <c r="I68" s="226"/>
      <c r="J68" s="226"/>
      <c r="K68" s="226"/>
      <c r="L68" s="226"/>
      <c r="M68" s="226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5.75" customHeight="1">
      <c r="A69" s="71" t="str">
        <f t="shared" si="0"/>
        <v xml:space="preserve"> - </v>
      </c>
      <c r="B69" s="80"/>
      <c r="C69" s="80"/>
      <c r="D69" s="83"/>
      <c r="E69" s="84"/>
      <c r="F69" s="80"/>
      <c r="G69" s="226"/>
      <c r="H69" s="226"/>
      <c r="I69" s="226"/>
      <c r="J69" s="226"/>
      <c r="K69" s="226"/>
      <c r="L69" s="226"/>
      <c r="M69" s="226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5.75" customHeight="1">
      <c r="A70" s="71" t="str">
        <f t="shared" si="0"/>
        <v xml:space="preserve"> - </v>
      </c>
      <c r="B70" s="80"/>
      <c r="C70" s="80"/>
      <c r="D70" s="83"/>
      <c r="E70" s="84"/>
      <c r="F70" s="80"/>
      <c r="G70" s="226"/>
      <c r="H70" s="226"/>
      <c r="I70" s="226"/>
      <c r="J70" s="226"/>
      <c r="K70" s="226"/>
      <c r="L70" s="226"/>
      <c r="M70" s="226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5.75" customHeight="1">
      <c r="A71" s="71" t="str">
        <f t="shared" si="0"/>
        <v xml:space="preserve"> - </v>
      </c>
      <c r="B71" s="80"/>
      <c r="C71" s="80"/>
      <c r="D71" s="83"/>
      <c r="E71" s="84"/>
      <c r="F71" s="80"/>
      <c r="G71" s="226"/>
      <c r="H71" s="226"/>
      <c r="I71" s="226"/>
      <c r="J71" s="226"/>
      <c r="K71" s="226"/>
      <c r="L71" s="226"/>
      <c r="M71" s="226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5.75" customHeight="1">
      <c r="A72" s="71"/>
      <c r="B72" s="80"/>
      <c r="C72" s="80"/>
      <c r="D72" s="83"/>
      <c r="E72" s="80"/>
      <c r="F72" s="80"/>
      <c r="G72" s="226"/>
      <c r="H72" s="226"/>
      <c r="I72" s="226"/>
      <c r="J72" s="226"/>
      <c r="K72" s="226"/>
      <c r="L72" s="226"/>
      <c r="M72" s="226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5.75" customHeight="1">
      <c r="A73" s="71"/>
      <c r="B73" s="80"/>
      <c r="C73" s="80"/>
      <c r="D73" s="83"/>
      <c r="E73" s="80"/>
      <c r="F73" s="80"/>
      <c r="G73" s="226"/>
      <c r="H73" s="226"/>
      <c r="I73" s="226"/>
      <c r="J73" s="226"/>
      <c r="K73" s="226"/>
      <c r="L73" s="226"/>
      <c r="M73" s="226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5.75" customHeight="1">
      <c r="A74" s="71"/>
      <c r="B74" s="80"/>
      <c r="C74" s="80"/>
      <c r="D74" s="83"/>
      <c r="E74" s="80"/>
      <c r="F74" s="80"/>
      <c r="G74" s="226"/>
      <c r="H74" s="226"/>
      <c r="I74" s="226"/>
      <c r="J74" s="226"/>
      <c r="K74" s="226"/>
      <c r="L74" s="226"/>
      <c r="M74" s="226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5.75" customHeight="1">
      <c r="A75" s="71"/>
      <c r="B75" s="80"/>
      <c r="C75" s="80"/>
      <c r="D75" s="83"/>
      <c r="E75" s="80"/>
      <c r="F75" s="80"/>
      <c r="G75" s="226"/>
      <c r="H75" s="226"/>
      <c r="I75" s="226"/>
      <c r="J75" s="226"/>
      <c r="K75" s="226"/>
      <c r="L75" s="226"/>
      <c r="M75" s="226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5.75" customHeight="1">
      <c r="A76" s="71"/>
      <c r="B76" s="80"/>
      <c r="C76" s="80"/>
      <c r="D76" s="83"/>
      <c r="E76" s="80"/>
      <c r="F76" s="80"/>
      <c r="G76" s="226"/>
      <c r="H76" s="226"/>
      <c r="I76" s="226"/>
      <c r="J76" s="226"/>
      <c r="K76" s="226"/>
      <c r="L76" s="226"/>
      <c r="M76" s="226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5.75" customHeight="1">
      <c r="A77" s="71"/>
      <c r="B77" s="80"/>
      <c r="C77" s="80"/>
      <c r="D77" s="83"/>
      <c r="E77" s="80"/>
      <c r="F77" s="80"/>
      <c r="G77" s="226"/>
      <c r="H77" s="226"/>
      <c r="I77" s="226"/>
      <c r="J77" s="226"/>
      <c r="K77" s="226"/>
      <c r="L77" s="226"/>
      <c r="M77" s="226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5.75" customHeight="1">
      <c r="A78" s="71"/>
      <c r="B78" s="80"/>
      <c r="C78" s="80"/>
      <c r="D78" s="83"/>
      <c r="E78" s="80"/>
      <c r="F78" s="80"/>
      <c r="G78" s="226"/>
      <c r="H78" s="226"/>
      <c r="I78" s="226"/>
      <c r="J78" s="226"/>
      <c r="K78" s="226"/>
      <c r="L78" s="226"/>
      <c r="M78" s="226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5.75" customHeight="1">
      <c r="A79" s="71"/>
      <c r="B79" s="80"/>
      <c r="C79" s="80"/>
      <c r="D79" s="83"/>
      <c r="E79" s="80"/>
      <c r="F79" s="80"/>
      <c r="G79" s="226"/>
      <c r="H79" s="226"/>
      <c r="I79" s="226"/>
      <c r="J79" s="226"/>
      <c r="K79" s="226"/>
      <c r="L79" s="226"/>
      <c r="M79" s="226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5.75" customHeight="1">
      <c r="A80" s="71"/>
      <c r="B80" s="80"/>
      <c r="C80" s="80"/>
      <c r="D80" s="83"/>
      <c r="E80" s="80"/>
      <c r="F80" s="80"/>
      <c r="G80" s="226"/>
      <c r="H80" s="226"/>
      <c r="I80" s="226"/>
      <c r="J80" s="226"/>
      <c r="K80" s="226"/>
      <c r="L80" s="226"/>
      <c r="M80" s="226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5.75" customHeight="1">
      <c r="A81" s="71"/>
      <c r="B81" s="80"/>
      <c r="C81" s="80"/>
      <c r="D81" s="83"/>
      <c r="E81" s="80"/>
      <c r="F81" s="80"/>
      <c r="G81" s="226"/>
      <c r="H81" s="226"/>
      <c r="I81" s="226"/>
      <c r="J81" s="226"/>
      <c r="K81" s="226"/>
      <c r="L81" s="226"/>
      <c r="M81" s="226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5.75" customHeight="1">
      <c r="A82" s="71"/>
      <c r="B82" s="80"/>
      <c r="C82" s="80"/>
      <c r="D82" s="83"/>
      <c r="E82" s="80"/>
      <c r="F82" s="80"/>
      <c r="G82" s="226"/>
      <c r="H82" s="226"/>
      <c r="I82" s="226"/>
      <c r="J82" s="226"/>
      <c r="K82" s="226"/>
      <c r="L82" s="226"/>
      <c r="M82" s="226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5.75" customHeight="1">
      <c r="A83" s="71"/>
      <c r="B83" s="80"/>
      <c r="C83" s="80"/>
      <c r="D83" s="83"/>
      <c r="E83" s="80"/>
      <c r="F83" s="80"/>
      <c r="G83" s="226"/>
      <c r="H83" s="226"/>
      <c r="I83" s="226"/>
      <c r="J83" s="226"/>
      <c r="K83" s="226"/>
      <c r="L83" s="226"/>
      <c r="M83" s="226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5.75" customHeight="1">
      <c r="A84" s="71"/>
      <c r="B84" s="80"/>
      <c r="C84" s="80"/>
      <c r="D84" s="83"/>
      <c r="E84" s="80"/>
      <c r="F84" s="80"/>
      <c r="G84" s="226"/>
      <c r="H84" s="226"/>
      <c r="I84" s="226"/>
      <c r="J84" s="226"/>
      <c r="K84" s="226"/>
      <c r="L84" s="226"/>
      <c r="M84" s="226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5.75" customHeight="1">
      <c r="A85" s="71"/>
      <c r="B85" s="80"/>
      <c r="C85" s="80"/>
      <c r="D85" s="83"/>
      <c r="E85" s="80"/>
      <c r="F85" s="80"/>
      <c r="G85" s="226"/>
      <c r="H85" s="226"/>
      <c r="I85" s="226"/>
      <c r="J85" s="226"/>
      <c r="K85" s="226"/>
      <c r="L85" s="226"/>
      <c r="M85" s="226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5.75" customHeight="1">
      <c r="A86" s="71"/>
      <c r="B86" s="80"/>
      <c r="C86" s="80"/>
      <c r="D86" s="83"/>
      <c r="E86" s="80"/>
      <c r="F86" s="80"/>
      <c r="G86" s="226"/>
      <c r="H86" s="226"/>
      <c r="I86" s="226"/>
      <c r="J86" s="226"/>
      <c r="K86" s="226"/>
      <c r="L86" s="226"/>
      <c r="M86" s="226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5.75" customHeight="1">
      <c r="A87" s="71"/>
      <c r="B87" s="80"/>
      <c r="C87" s="80"/>
      <c r="D87" s="83"/>
      <c r="E87" s="80"/>
      <c r="F87" s="80"/>
      <c r="G87" s="226"/>
      <c r="H87" s="226"/>
      <c r="I87" s="226"/>
      <c r="J87" s="226"/>
      <c r="K87" s="226"/>
      <c r="L87" s="226"/>
      <c r="M87" s="226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5.75" customHeight="1">
      <c r="A88" s="71"/>
      <c r="B88" s="80"/>
      <c r="C88" s="80"/>
      <c r="D88" s="83"/>
      <c r="E88" s="80"/>
      <c r="F88" s="80"/>
      <c r="G88" s="226"/>
      <c r="H88" s="226"/>
      <c r="I88" s="226"/>
      <c r="J88" s="226"/>
      <c r="K88" s="226"/>
      <c r="L88" s="226"/>
      <c r="M88" s="226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5.75" customHeight="1">
      <c r="A89" s="71"/>
      <c r="B89" s="80"/>
      <c r="C89" s="80"/>
      <c r="D89" s="83"/>
      <c r="E89" s="80"/>
      <c r="F89" s="80"/>
      <c r="G89" s="226"/>
      <c r="H89" s="226"/>
      <c r="I89" s="226"/>
      <c r="J89" s="226"/>
      <c r="K89" s="226"/>
      <c r="L89" s="226"/>
      <c r="M89" s="226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5.75" customHeight="1">
      <c r="A90" s="71"/>
      <c r="B90" s="80"/>
      <c r="C90" s="80"/>
      <c r="D90" s="83"/>
      <c r="E90" s="80"/>
      <c r="F90" s="80"/>
      <c r="G90" s="226"/>
      <c r="H90" s="226"/>
      <c r="I90" s="226"/>
      <c r="J90" s="226"/>
      <c r="K90" s="226"/>
      <c r="L90" s="226"/>
      <c r="M90" s="226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5.75" customHeight="1">
      <c r="A91" s="71"/>
      <c r="B91" s="80"/>
      <c r="C91" s="80"/>
      <c r="D91" s="83"/>
      <c r="E91" s="80"/>
      <c r="F91" s="80"/>
      <c r="G91" s="226"/>
      <c r="H91" s="226"/>
      <c r="I91" s="226"/>
      <c r="J91" s="226"/>
      <c r="K91" s="226"/>
      <c r="L91" s="226"/>
      <c r="M91" s="226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5.75" customHeight="1">
      <c r="A92" s="71"/>
      <c r="B92" s="80"/>
      <c r="C92" s="80"/>
      <c r="D92" s="83"/>
      <c r="E92" s="80"/>
      <c r="F92" s="80"/>
      <c r="G92" s="226"/>
      <c r="H92" s="226"/>
      <c r="I92" s="226"/>
      <c r="J92" s="226"/>
      <c r="K92" s="226"/>
      <c r="L92" s="226"/>
      <c r="M92" s="226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5.75" customHeight="1">
      <c r="A93" s="71"/>
      <c r="B93" s="80"/>
      <c r="C93" s="80"/>
      <c r="D93" s="83"/>
      <c r="E93" s="80"/>
      <c r="F93" s="80"/>
      <c r="G93" s="226"/>
      <c r="H93" s="226"/>
      <c r="I93" s="226"/>
      <c r="J93" s="226"/>
      <c r="K93" s="226"/>
      <c r="L93" s="226"/>
      <c r="M93" s="226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5.75" customHeight="1">
      <c r="A94" s="71"/>
      <c r="B94" s="80"/>
      <c r="C94" s="80"/>
      <c r="D94" s="83"/>
      <c r="E94" s="80"/>
      <c r="F94" s="80"/>
      <c r="G94" s="226"/>
      <c r="H94" s="226"/>
      <c r="I94" s="226"/>
      <c r="J94" s="226"/>
      <c r="K94" s="226"/>
      <c r="L94" s="226"/>
      <c r="M94" s="226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5.75" customHeight="1">
      <c r="A95" s="71"/>
      <c r="B95" s="80"/>
      <c r="C95" s="80"/>
      <c r="D95" s="83"/>
      <c r="E95" s="80"/>
      <c r="F95" s="80"/>
      <c r="G95" s="226"/>
      <c r="H95" s="226"/>
      <c r="I95" s="226"/>
      <c r="J95" s="226"/>
      <c r="K95" s="226"/>
      <c r="L95" s="226"/>
      <c r="M95" s="226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5.75" customHeight="1">
      <c r="A96" s="71"/>
      <c r="B96" s="80"/>
      <c r="C96" s="80"/>
      <c r="D96" s="83"/>
      <c r="E96" s="80"/>
      <c r="F96" s="80"/>
      <c r="G96" s="226"/>
      <c r="H96" s="226"/>
      <c r="I96" s="226"/>
      <c r="J96" s="226"/>
      <c r="K96" s="226"/>
      <c r="L96" s="226"/>
      <c r="M96" s="226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5.75" customHeight="1">
      <c r="A97" s="71"/>
      <c r="B97" s="80"/>
      <c r="C97" s="80"/>
      <c r="D97" s="83"/>
      <c r="E97" s="80"/>
      <c r="F97" s="80"/>
      <c r="G97" s="226"/>
      <c r="H97" s="226"/>
      <c r="I97" s="226"/>
      <c r="J97" s="226"/>
      <c r="K97" s="226"/>
      <c r="L97" s="226"/>
      <c r="M97" s="226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5.75" customHeight="1">
      <c r="A98" s="71"/>
      <c r="B98" s="80"/>
      <c r="C98" s="80"/>
      <c r="D98" s="83"/>
      <c r="E98" s="80"/>
      <c r="F98" s="80"/>
      <c r="G98" s="226"/>
      <c r="H98" s="226"/>
      <c r="I98" s="226"/>
      <c r="J98" s="226"/>
      <c r="K98" s="226"/>
      <c r="L98" s="226"/>
      <c r="M98" s="226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5.75" customHeight="1">
      <c r="A99" s="71"/>
      <c r="B99" s="80"/>
      <c r="C99" s="80"/>
      <c r="D99" s="83"/>
      <c r="E99" s="80"/>
      <c r="F99" s="80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5.75" customHeight="1">
      <c r="A100" s="71"/>
      <c r="B100" s="80"/>
      <c r="C100" s="80"/>
      <c r="D100" s="83"/>
      <c r="E100" s="80"/>
      <c r="F100" s="80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5.75" customHeight="1">
      <c r="A521" s="78"/>
      <c r="B521" s="78"/>
      <c r="C521" s="78"/>
      <c r="D521" s="78"/>
      <c r="E521" s="7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</row>
    <row r="522" spans="1:26" ht="15.75" customHeight="1">
      <c r="A522" s="68" t="s">
        <v>736</v>
      </c>
      <c r="B522" s="68"/>
      <c r="C522" s="68"/>
      <c r="D522" s="68" t="s">
        <v>774</v>
      </c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</row>
    <row r="523" spans="1:26" ht="15.75" customHeight="1">
      <c r="A523" s="75"/>
      <c r="B523" s="75"/>
      <c r="C523" s="75"/>
      <c r="D523" s="75"/>
      <c r="E523" s="75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</row>
    <row r="524" spans="1:26" ht="15.75" customHeight="1">
      <c r="A524" s="77" t="str">
        <f>[1]CPMs!$A1</f>
        <v>SEARCH KEY DRAG</v>
      </c>
      <c r="B524" s="77" t="str">
        <f>[1]CPMs!$G1</f>
        <v>INPUT DRAG</v>
      </c>
      <c r="C524" s="77" t="str">
        <f>[1]CPMs!$F1</f>
        <v>CPM DRAG</v>
      </c>
      <c r="D524" s="228" t="s">
        <v>734</v>
      </c>
      <c r="E524" s="102"/>
      <c r="F524" s="230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</row>
    <row r="525" spans="1:26" ht="15.75" customHeight="1">
      <c r="A525" s="218" t="s">
        <v>135</v>
      </c>
      <c r="B525" s="218" t="s">
        <v>459</v>
      </c>
      <c r="C525" s="218" t="s">
        <v>136</v>
      </c>
      <c r="D525" s="229" t="s">
        <v>735</v>
      </c>
      <c r="E525" s="101" t="s">
        <v>440</v>
      </c>
      <c r="F525" s="230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</row>
    <row r="526" spans="1:26" ht="15.75" customHeight="1">
      <c r="A526" s="218" t="s">
        <v>137</v>
      </c>
      <c r="B526" s="218" t="s">
        <v>460</v>
      </c>
      <c r="C526" s="218">
        <v>41.18</v>
      </c>
      <c r="D526" s="229">
        <v>1</v>
      </c>
      <c r="E526" s="101">
        <f t="shared" ref="E526:E589" si="1">C526*D526</f>
        <v>41.18</v>
      </c>
      <c r="F526" s="230"/>
      <c r="G526" s="227"/>
      <c r="H526" s="226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5.75" customHeight="1">
      <c r="A527" s="218" t="s">
        <v>138</v>
      </c>
      <c r="B527" s="218" t="s">
        <v>461</v>
      </c>
      <c r="C527" s="218">
        <v>47.06</v>
      </c>
      <c r="D527" s="229">
        <v>1</v>
      </c>
      <c r="E527" s="101">
        <f t="shared" si="1"/>
        <v>47.06</v>
      </c>
      <c r="F527" s="230"/>
      <c r="G527" s="227"/>
      <c r="H527" s="226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5.75" customHeight="1">
      <c r="A528" s="218" t="s">
        <v>139</v>
      </c>
      <c r="B528" s="218" t="s">
        <v>462</v>
      </c>
      <c r="C528" s="218">
        <v>47.06</v>
      </c>
      <c r="D528" s="229">
        <v>1</v>
      </c>
      <c r="E528" s="101">
        <f t="shared" si="1"/>
        <v>47.06</v>
      </c>
      <c r="F528" s="230"/>
      <c r="G528" s="227"/>
      <c r="H528" s="226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5.75" customHeight="1">
      <c r="A529" s="218" t="s">
        <v>140</v>
      </c>
      <c r="B529" s="218" t="s">
        <v>463</v>
      </c>
      <c r="C529" s="218">
        <v>47.06</v>
      </c>
      <c r="D529" s="229">
        <v>1</v>
      </c>
      <c r="E529" s="101">
        <f t="shared" si="1"/>
        <v>47.06</v>
      </c>
      <c r="F529" s="230"/>
      <c r="G529" s="227"/>
      <c r="H529" s="226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5.75" customHeight="1">
      <c r="A530" s="218" t="s">
        <v>141</v>
      </c>
      <c r="B530" s="218" t="s">
        <v>464</v>
      </c>
      <c r="C530" s="218">
        <v>58.82</v>
      </c>
      <c r="D530" s="229">
        <v>1</v>
      </c>
      <c r="E530" s="101">
        <f t="shared" si="1"/>
        <v>58.82</v>
      </c>
      <c r="F530" s="230"/>
      <c r="G530" s="227"/>
      <c r="H530" s="226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5.75" customHeight="1">
      <c r="A531" s="218" t="s">
        <v>142</v>
      </c>
      <c r="B531" s="218" t="s">
        <v>465</v>
      </c>
      <c r="C531" s="218">
        <v>17.649999999999999</v>
      </c>
      <c r="D531" s="229">
        <v>1</v>
      </c>
      <c r="E531" s="101">
        <f t="shared" si="1"/>
        <v>17.649999999999999</v>
      </c>
      <c r="F531" s="230"/>
      <c r="G531" s="227"/>
      <c r="H531" s="226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5.75" customHeight="1">
      <c r="A532" s="218" t="s">
        <v>143</v>
      </c>
      <c r="B532" s="218" t="s">
        <v>466</v>
      </c>
      <c r="C532" s="218">
        <v>17.649999999999999</v>
      </c>
      <c r="D532" s="229">
        <v>1</v>
      </c>
      <c r="E532" s="101">
        <f t="shared" si="1"/>
        <v>17.649999999999999</v>
      </c>
      <c r="F532" s="230"/>
      <c r="G532" s="227"/>
      <c r="H532" s="226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5.75" customHeight="1">
      <c r="A533" s="218" t="s">
        <v>144</v>
      </c>
      <c r="B533" s="218" t="s">
        <v>467</v>
      </c>
      <c r="C533" s="218">
        <v>17.649999999999999</v>
      </c>
      <c r="D533" s="229">
        <v>1</v>
      </c>
      <c r="E533" s="101">
        <f t="shared" si="1"/>
        <v>17.649999999999999</v>
      </c>
      <c r="F533" s="230"/>
      <c r="G533" s="227"/>
      <c r="H533" s="226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5.75" customHeight="1">
      <c r="A534" s="218" t="s">
        <v>145</v>
      </c>
      <c r="B534" s="218" t="s">
        <v>468</v>
      </c>
      <c r="C534" s="218">
        <v>17.649999999999999</v>
      </c>
      <c r="D534" s="229">
        <v>1</v>
      </c>
      <c r="E534" s="101">
        <f t="shared" si="1"/>
        <v>17.649999999999999</v>
      </c>
      <c r="F534" s="230"/>
      <c r="G534" s="227"/>
      <c r="H534" s="226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5.75" customHeight="1">
      <c r="A535" s="218" t="s">
        <v>146</v>
      </c>
      <c r="B535" s="218" t="s">
        <v>469</v>
      </c>
      <c r="C535" s="218">
        <v>17.649999999999999</v>
      </c>
      <c r="D535" s="229">
        <v>1</v>
      </c>
      <c r="E535" s="101">
        <f t="shared" si="1"/>
        <v>17.649999999999999</v>
      </c>
      <c r="F535" s="230"/>
      <c r="G535" s="227"/>
      <c r="H535" s="226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5.75" customHeight="1">
      <c r="A536" s="218" t="s">
        <v>147</v>
      </c>
      <c r="B536" s="218" t="s">
        <v>470</v>
      </c>
      <c r="C536" s="218">
        <v>23.53</v>
      </c>
      <c r="D536" s="229">
        <v>1</v>
      </c>
      <c r="E536" s="101">
        <f t="shared" si="1"/>
        <v>23.53</v>
      </c>
      <c r="F536" s="230"/>
      <c r="G536" s="227"/>
      <c r="H536" s="226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5.75" customHeight="1">
      <c r="A537" s="218" t="s">
        <v>148</v>
      </c>
      <c r="B537" s="218" t="s">
        <v>471</v>
      </c>
      <c r="C537" s="218">
        <v>23.53</v>
      </c>
      <c r="D537" s="229">
        <v>1</v>
      </c>
      <c r="E537" s="101">
        <f t="shared" si="1"/>
        <v>23.53</v>
      </c>
      <c r="F537" s="230"/>
      <c r="G537" s="227"/>
      <c r="H537" s="226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5.75" customHeight="1">
      <c r="A538" s="218" t="s">
        <v>149</v>
      </c>
      <c r="B538" s="218" t="s">
        <v>472</v>
      </c>
      <c r="C538" s="218">
        <v>23.53</v>
      </c>
      <c r="D538" s="229">
        <v>1</v>
      </c>
      <c r="E538" s="101">
        <f t="shared" si="1"/>
        <v>23.53</v>
      </c>
      <c r="F538" s="230"/>
      <c r="G538" s="227"/>
      <c r="H538" s="226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5.75" customHeight="1">
      <c r="A539" s="218" t="s">
        <v>150</v>
      </c>
      <c r="B539" s="218" t="s">
        <v>473</v>
      </c>
      <c r="C539" s="218">
        <v>23.53</v>
      </c>
      <c r="D539" s="229">
        <v>1</v>
      </c>
      <c r="E539" s="101">
        <f t="shared" si="1"/>
        <v>23.53</v>
      </c>
      <c r="F539" s="230"/>
      <c r="G539" s="227"/>
      <c r="H539" s="226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5.75" customHeight="1">
      <c r="A540" s="218" t="s">
        <v>151</v>
      </c>
      <c r="B540" s="218" t="s">
        <v>474</v>
      </c>
      <c r="C540" s="218">
        <v>23.53</v>
      </c>
      <c r="D540" s="229">
        <v>1</v>
      </c>
      <c r="E540" s="101">
        <f t="shared" si="1"/>
        <v>23.53</v>
      </c>
      <c r="F540" s="230"/>
      <c r="G540" s="227"/>
      <c r="H540" s="226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5.75" customHeight="1">
      <c r="A541" s="218" t="s">
        <v>152</v>
      </c>
      <c r="B541" s="218" t="s">
        <v>475</v>
      </c>
      <c r="C541" s="218">
        <v>27.06</v>
      </c>
      <c r="D541" s="229">
        <v>1</v>
      </c>
      <c r="E541" s="101">
        <f t="shared" si="1"/>
        <v>27.06</v>
      </c>
      <c r="F541" s="230"/>
      <c r="G541" s="227"/>
      <c r="H541" s="226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5.75" customHeight="1">
      <c r="A542" s="218" t="s">
        <v>153</v>
      </c>
      <c r="B542" s="218" t="s">
        <v>476</v>
      </c>
      <c r="C542" s="218">
        <v>27.06</v>
      </c>
      <c r="D542" s="229">
        <v>1</v>
      </c>
      <c r="E542" s="101">
        <f t="shared" si="1"/>
        <v>27.06</v>
      </c>
      <c r="F542" s="230"/>
      <c r="G542" s="227"/>
      <c r="H542" s="226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5.75" customHeight="1">
      <c r="A543" s="218" t="s">
        <v>154</v>
      </c>
      <c r="B543" s="218" t="s">
        <v>477</v>
      </c>
      <c r="C543" s="218">
        <v>27.06</v>
      </c>
      <c r="D543" s="229">
        <v>1</v>
      </c>
      <c r="E543" s="101">
        <f t="shared" si="1"/>
        <v>27.06</v>
      </c>
      <c r="F543" s="230"/>
      <c r="G543" s="227"/>
      <c r="H543" s="226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5.75" customHeight="1">
      <c r="A544" s="218" t="s">
        <v>155</v>
      </c>
      <c r="B544" s="218" t="s">
        <v>478</v>
      </c>
      <c r="C544" s="218">
        <v>27.06</v>
      </c>
      <c r="D544" s="229">
        <v>1</v>
      </c>
      <c r="E544" s="101">
        <f t="shared" si="1"/>
        <v>27.06</v>
      </c>
      <c r="F544" s="230"/>
      <c r="G544" s="227"/>
      <c r="H544" s="226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5.75" customHeight="1">
      <c r="A545" s="218" t="s">
        <v>156</v>
      </c>
      <c r="B545" s="218" t="s">
        <v>479</v>
      </c>
      <c r="C545" s="218">
        <v>27.06</v>
      </c>
      <c r="D545" s="229">
        <v>1</v>
      </c>
      <c r="E545" s="101">
        <f t="shared" si="1"/>
        <v>27.06</v>
      </c>
      <c r="F545" s="230"/>
      <c r="G545" s="227"/>
      <c r="H545" s="226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5.75" customHeight="1">
      <c r="A546" s="218" t="s">
        <v>157</v>
      </c>
      <c r="B546" s="218" t="s">
        <v>480</v>
      </c>
      <c r="C546" s="218">
        <v>5.82</v>
      </c>
      <c r="D546" s="229">
        <v>1</v>
      </c>
      <c r="E546" s="101">
        <f t="shared" si="1"/>
        <v>5.82</v>
      </c>
      <c r="F546" s="230"/>
      <c r="G546" s="227"/>
      <c r="H546" s="226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5.75" customHeight="1">
      <c r="A547" s="218" t="s">
        <v>158</v>
      </c>
      <c r="B547" s="218" t="s">
        <v>481</v>
      </c>
      <c r="C547" s="218">
        <v>47.06</v>
      </c>
      <c r="D547" s="229">
        <v>1</v>
      </c>
      <c r="E547" s="101">
        <f t="shared" si="1"/>
        <v>47.06</v>
      </c>
      <c r="F547" s="230"/>
      <c r="G547" s="227"/>
      <c r="H547" s="226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5.75" customHeight="1">
      <c r="A548" s="218" t="s">
        <v>159</v>
      </c>
      <c r="B548" s="218" t="s">
        <v>482</v>
      </c>
      <c r="C548" s="218">
        <v>47.06</v>
      </c>
      <c r="D548" s="229">
        <v>1</v>
      </c>
      <c r="E548" s="101">
        <f t="shared" si="1"/>
        <v>47.06</v>
      </c>
      <c r="F548" s="230"/>
      <c r="G548" s="227"/>
      <c r="H548" s="226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5.75" customHeight="1">
      <c r="A549" s="218" t="s">
        <v>160</v>
      </c>
      <c r="B549" s="218" t="s">
        <v>483</v>
      </c>
      <c r="C549" s="218">
        <v>17.649999999999999</v>
      </c>
      <c r="D549" s="229">
        <v>1</v>
      </c>
      <c r="E549" s="101">
        <f t="shared" si="1"/>
        <v>17.649999999999999</v>
      </c>
      <c r="F549" s="230"/>
      <c r="G549" s="227"/>
      <c r="H549" s="226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5.75" customHeight="1">
      <c r="A550" s="218" t="s">
        <v>161</v>
      </c>
      <c r="B550" s="218" t="s">
        <v>484</v>
      </c>
      <c r="C550" s="218">
        <v>17.649999999999999</v>
      </c>
      <c r="D550" s="229">
        <v>1</v>
      </c>
      <c r="E550" s="101">
        <f t="shared" si="1"/>
        <v>17.649999999999999</v>
      </c>
      <c r="F550" s="230"/>
      <c r="G550" s="227"/>
      <c r="H550" s="226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5.75" customHeight="1">
      <c r="A551" s="218" t="s">
        <v>162</v>
      </c>
      <c r="B551" s="218" t="s">
        <v>485</v>
      </c>
      <c r="C551" s="218">
        <v>82.35</v>
      </c>
      <c r="D551" s="229">
        <v>1</v>
      </c>
      <c r="E551" s="101">
        <f t="shared" si="1"/>
        <v>82.35</v>
      </c>
      <c r="F551" s="230"/>
      <c r="G551" s="227"/>
      <c r="H551" s="226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5.75" customHeight="1">
      <c r="A552" s="218" t="s">
        <v>163</v>
      </c>
      <c r="B552" s="218" t="s">
        <v>486</v>
      </c>
      <c r="C552" s="218">
        <v>0</v>
      </c>
      <c r="D552" s="229">
        <v>1</v>
      </c>
      <c r="E552" s="101">
        <f t="shared" si="1"/>
        <v>0</v>
      </c>
      <c r="F552" s="230"/>
      <c r="G552" s="227"/>
      <c r="H552" s="226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5.75" customHeight="1">
      <c r="A553" s="218" t="s">
        <v>164</v>
      </c>
      <c r="B553" s="218" t="s">
        <v>487</v>
      </c>
      <c r="C553" s="218">
        <v>41.18</v>
      </c>
      <c r="D553" s="229">
        <v>1</v>
      </c>
      <c r="E553" s="101">
        <f t="shared" si="1"/>
        <v>41.18</v>
      </c>
      <c r="F553" s="230"/>
      <c r="G553" s="227"/>
      <c r="H553" s="226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5.75" customHeight="1">
      <c r="A554" s="218" t="s">
        <v>165</v>
      </c>
      <c r="B554" s="218" t="s">
        <v>488</v>
      </c>
      <c r="C554" s="218">
        <v>47.06</v>
      </c>
      <c r="D554" s="229">
        <v>1</v>
      </c>
      <c r="E554" s="101">
        <f t="shared" si="1"/>
        <v>47.06</v>
      </c>
      <c r="F554" s="230"/>
      <c r="G554" s="227"/>
      <c r="H554" s="226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5.75" customHeight="1">
      <c r="A555" s="218" t="s">
        <v>166</v>
      </c>
      <c r="B555" s="218" t="s">
        <v>489</v>
      </c>
      <c r="C555" s="218">
        <v>47.06</v>
      </c>
      <c r="D555" s="229">
        <v>1</v>
      </c>
      <c r="E555" s="101">
        <f t="shared" si="1"/>
        <v>47.06</v>
      </c>
      <c r="F555" s="230"/>
      <c r="G555" s="227"/>
      <c r="H555" s="226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5.75" customHeight="1">
      <c r="A556" s="218" t="s">
        <v>167</v>
      </c>
      <c r="B556" s="218" t="s">
        <v>490</v>
      </c>
      <c r="C556" s="218">
        <v>47.06</v>
      </c>
      <c r="D556" s="229">
        <v>1</v>
      </c>
      <c r="E556" s="101">
        <f t="shared" si="1"/>
        <v>47.06</v>
      </c>
      <c r="F556" s="230"/>
      <c r="G556" s="227"/>
      <c r="H556" s="226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5.75" customHeight="1">
      <c r="A557" s="218" t="s">
        <v>168</v>
      </c>
      <c r="B557" s="218" t="s">
        <v>491</v>
      </c>
      <c r="C557" s="218">
        <v>58.82</v>
      </c>
      <c r="D557" s="229">
        <v>1</v>
      </c>
      <c r="E557" s="101">
        <f t="shared" si="1"/>
        <v>58.82</v>
      </c>
      <c r="F557" s="230"/>
      <c r="G557" s="227"/>
      <c r="H557" s="226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5.75" customHeight="1">
      <c r="A558" s="218" t="s">
        <v>723</v>
      </c>
      <c r="B558" s="218" t="s">
        <v>724</v>
      </c>
      <c r="C558" s="218">
        <v>76.47</v>
      </c>
      <c r="D558" s="229">
        <v>1</v>
      </c>
      <c r="E558" s="101">
        <f t="shared" si="1"/>
        <v>76.47</v>
      </c>
      <c r="F558" s="230"/>
      <c r="G558" s="227"/>
      <c r="H558" s="226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5.75" customHeight="1">
      <c r="A559" s="218" t="s">
        <v>169</v>
      </c>
      <c r="B559" s="218" t="s">
        <v>492</v>
      </c>
      <c r="C559" s="218">
        <v>17.649999999999999</v>
      </c>
      <c r="D559" s="229">
        <v>1</v>
      </c>
      <c r="E559" s="101">
        <f t="shared" si="1"/>
        <v>17.649999999999999</v>
      </c>
      <c r="F559" s="230"/>
      <c r="G559" s="227"/>
      <c r="H559" s="226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5.75" customHeight="1">
      <c r="A560" s="218" t="s">
        <v>170</v>
      </c>
      <c r="B560" s="218" t="s">
        <v>493</v>
      </c>
      <c r="C560" s="218">
        <v>17.649999999999999</v>
      </c>
      <c r="D560" s="229">
        <v>1</v>
      </c>
      <c r="E560" s="101">
        <f t="shared" si="1"/>
        <v>17.649999999999999</v>
      </c>
      <c r="F560" s="230"/>
      <c r="G560" s="227"/>
      <c r="H560" s="226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5.75" customHeight="1">
      <c r="A561" s="218" t="s">
        <v>171</v>
      </c>
      <c r="B561" s="218" t="s">
        <v>494</v>
      </c>
      <c r="C561" s="218">
        <v>17.649999999999999</v>
      </c>
      <c r="D561" s="229">
        <v>1</v>
      </c>
      <c r="E561" s="101">
        <f t="shared" si="1"/>
        <v>17.649999999999999</v>
      </c>
      <c r="F561" s="230"/>
      <c r="G561" s="227"/>
      <c r="H561" s="226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5.75" customHeight="1">
      <c r="A562" s="218" t="s">
        <v>172</v>
      </c>
      <c r="B562" s="218" t="s">
        <v>495</v>
      </c>
      <c r="C562" s="218">
        <v>17.649999999999999</v>
      </c>
      <c r="D562" s="229">
        <v>1</v>
      </c>
      <c r="E562" s="101">
        <f t="shared" si="1"/>
        <v>17.649999999999999</v>
      </c>
      <c r="F562" s="230"/>
      <c r="G562" s="227"/>
      <c r="H562" s="226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5.75" customHeight="1">
      <c r="A563" s="218" t="s">
        <v>173</v>
      </c>
      <c r="B563" s="218" t="s">
        <v>496</v>
      </c>
      <c r="C563" s="218">
        <v>17.649999999999999</v>
      </c>
      <c r="D563" s="229">
        <v>1</v>
      </c>
      <c r="E563" s="101">
        <f t="shared" si="1"/>
        <v>17.649999999999999</v>
      </c>
      <c r="F563" s="230"/>
      <c r="G563" s="227"/>
      <c r="H563" s="226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5.75" customHeight="1">
      <c r="A564" s="218" t="s">
        <v>174</v>
      </c>
      <c r="B564" s="218" t="s">
        <v>497</v>
      </c>
      <c r="C564" s="218">
        <v>23.53</v>
      </c>
      <c r="D564" s="229">
        <v>1</v>
      </c>
      <c r="E564" s="101">
        <f t="shared" si="1"/>
        <v>23.53</v>
      </c>
      <c r="F564" s="230"/>
      <c r="G564" s="227"/>
      <c r="H564" s="226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5.75" customHeight="1">
      <c r="A565" s="218" t="s">
        <v>175</v>
      </c>
      <c r="B565" s="218" t="s">
        <v>448</v>
      </c>
      <c r="C565" s="218">
        <v>23.53</v>
      </c>
      <c r="D565" s="229">
        <v>1</v>
      </c>
      <c r="E565" s="101">
        <f t="shared" si="1"/>
        <v>23.53</v>
      </c>
      <c r="F565" s="230"/>
      <c r="G565" s="227"/>
      <c r="H565" s="226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5.75" customHeight="1">
      <c r="A566" s="218" t="s">
        <v>176</v>
      </c>
      <c r="B566" s="218" t="s">
        <v>449</v>
      </c>
      <c r="C566" s="218">
        <v>23.53</v>
      </c>
      <c r="D566" s="229">
        <v>1</v>
      </c>
      <c r="E566" s="101">
        <f t="shared" si="1"/>
        <v>23.53</v>
      </c>
      <c r="F566" s="230"/>
      <c r="G566" s="227"/>
      <c r="H566" s="226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5.75" customHeight="1">
      <c r="A567" s="218" t="s">
        <v>177</v>
      </c>
      <c r="B567" s="218" t="s">
        <v>498</v>
      </c>
      <c r="C567" s="218">
        <v>23.53</v>
      </c>
      <c r="D567" s="229">
        <v>1</v>
      </c>
      <c r="E567" s="101">
        <f t="shared" si="1"/>
        <v>23.53</v>
      </c>
      <c r="F567" s="230"/>
      <c r="G567" s="227"/>
      <c r="H567" s="226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5.75" customHeight="1">
      <c r="A568" s="218" t="s">
        <v>178</v>
      </c>
      <c r="B568" s="218" t="s">
        <v>499</v>
      </c>
      <c r="C568" s="218">
        <v>23.53</v>
      </c>
      <c r="D568" s="229">
        <v>1</v>
      </c>
      <c r="E568" s="101">
        <f t="shared" si="1"/>
        <v>23.53</v>
      </c>
      <c r="F568" s="230"/>
      <c r="G568" s="227"/>
      <c r="H568" s="226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5.75" customHeight="1">
      <c r="A569" s="218" t="s">
        <v>179</v>
      </c>
      <c r="B569" s="218" t="s">
        <v>500</v>
      </c>
      <c r="C569" s="218">
        <v>27.06</v>
      </c>
      <c r="D569" s="229">
        <v>1</v>
      </c>
      <c r="E569" s="101">
        <f t="shared" si="1"/>
        <v>27.06</v>
      </c>
      <c r="F569" s="230"/>
      <c r="G569" s="227"/>
      <c r="H569" s="226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5.75" customHeight="1">
      <c r="A570" s="218" t="s">
        <v>180</v>
      </c>
      <c r="B570" s="218" t="s">
        <v>450</v>
      </c>
      <c r="C570" s="218">
        <v>27.06</v>
      </c>
      <c r="D570" s="229">
        <v>1</v>
      </c>
      <c r="E570" s="101">
        <f t="shared" si="1"/>
        <v>27.06</v>
      </c>
      <c r="F570" s="230"/>
      <c r="G570" s="227"/>
      <c r="H570" s="226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5.75" customHeight="1">
      <c r="A571" s="218" t="s">
        <v>181</v>
      </c>
      <c r="B571" s="218" t="s">
        <v>451</v>
      </c>
      <c r="C571" s="218">
        <v>27.06</v>
      </c>
      <c r="D571" s="229">
        <v>1</v>
      </c>
      <c r="E571" s="101">
        <f t="shared" si="1"/>
        <v>27.06</v>
      </c>
      <c r="F571" s="230"/>
      <c r="G571" s="227"/>
      <c r="H571" s="226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5.75" customHeight="1">
      <c r="A572" s="218" t="s">
        <v>182</v>
      </c>
      <c r="B572" s="218" t="s">
        <v>501</v>
      </c>
      <c r="C572" s="218">
        <v>27.06</v>
      </c>
      <c r="D572" s="229">
        <v>1</v>
      </c>
      <c r="E572" s="101">
        <f t="shared" si="1"/>
        <v>27.06</v>
      </c>
      <c r="F572" s="230"/>
      <c r="G572" s="227"/>
      <c r="H572" s="226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5.75" customHeight="1">
      <c r="A573" s="218" t="s">
        <v>183</v>
      </c>
      <c r="B573" s="218" t="s">
        <v>502</v>
      </c>
      <c r="C573" s="218">
        <v>27.06</v>
      </c>
      <c r="D573" s="229">
        <v>1</v>
      </c>
      <c r="E573" s="101">
        <f t="shared" si="1"/>
        <v>27.06</v>
      </c>
      <c r="F573" s="230"/>
      <c r="G573" s="227"/>
      <c r="H573" s="226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5.75" customHeight="1">
      <c r="A574" s="218" t="s">
        <v>184</v>
      </c>
      <c r="B574" s="218" t="s">
        <v>458</v>
      </c>
      <c r="C574" s="218">
        <v>5.82</v>
      </c>
      <c r="D574" s="229">
        <v>1</v>
      </c>
      <c r="E574" s="101">
        <f t="shared" si="1"/>
        <v>5.82</v>
      </c>
      <c r="F574" s="230"/>
      <c r="G574" s="227"/>
      <c r="H574" s="226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5.75" customHeight="1">
      <c r="A575" s="218" t="s">
        <v>185</v>
      </c>
      <c r="B575" s="218" t="s">
        <v>441</v>
      </c>
      <c r="C575" s="218">
        <v>47.06</v>
      </c>
      <c r="D575" s="229">
        <v>1</v>
      </c>
      <c r="E575" s="101">
        <f t="shared" si="1"/>
        <v>47.06</v>
      </c>
      <c r="F575" s="230"/>
      <c r="G575" s="227"/>
      <c r="H575" s="226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5.75" customHeight="1">
      <c r="A576" s="218" t="s">
        <v>186</v>
      </c>
      <c r="B576" s="218" t="s">
        <v>503</v>
      </c>
      <c r="C576" s="218">
        <v>47.06</v>
      </c>
      <c r="D576" s="229">
        <v>1</v>
      </c>
      <c r="E576" s="101">
        <f t="shared" si="1"/>
        <v>47.06</v>
      </c>
      <c r="F576" s="230"/>
      <c r="G576" s="227"/>
      <c r="H576" s="226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5.75" customHeight="1">
      <c r="A577" s="218" t="s">
        <v>187</v>
      </c>
      <c r="B577" s="218" t="s">
        <v>447</v>
      </c>
      <c r="C577" s="218">
        <v>17.649999999999999</v>
      </c>
      <c r="D577" s="229">
        <v>1</v>
      </c>
      <c r="E577" s="101">
        <f t="shared" si="1"/>
        <v>17.649999999999999</v>
      </c>
      <c r="F577" s="230"/>
      <c r="G577" s="227"/>
      <c r="H577" s="226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5.75" customHeight="1">
      <c r="A578" s="218" t="s">
        <v>188</v>
      </c>
      <c r="B578" s="218" t="s">
        <v>504</v>
      </c>
      <c r="C578" s="218">
        <v>17.649999999999999</v>
      </c>
      <c r="D578" s="229">
        <v>1</v>
      </c>
      <c r="E578" s="101">
        <f t="shared" si="1"/>
        <v>17.649999999999999</v>
      </c>
      <c r="F578" s="230"/>
      <c r="G578" s="227"/>
      <c r="H578" s="226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5.75" customHeight="1">
      <c r="A579" s="218" t="s">
        <v>163</v>
      </c>
      <c r="B579" s="218" t="s">
        <v>486</v>
      </c>
      <c r="C579" s="218">
        <v>0</v>
      </c>
      <c r="D579" s="229">
        <v>1</v>
      </c>
      <c r="E579" s="101">
        <f t="shared" si="1"/>
        <v>0</v>
      </c>
      <c r="F579" s="230"/>
      <c r="G579" s="227"/>
      <c r="H579" s="226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5.75" customHeight="1">
      <c r="A580" s="218" t="s">
        <v>189</v>
      </c>
      <c r="B580" s="218" t="s">
        <v>443</v>
      </c>
      <c r="C580" s="218">
        <v>4.71</v>
      </c>
      <c r="D580" s="229">
        <v>1</v>
      </c>
      <c r="E580" s="101">
        <f t="shared" si="1"/>
        <v>4.71</v>
      </c>
      <c r="F580" s="230"/>
      <c r="G580" s="227"/>
      <c r="H580" s="226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5.75" customHeight="1">
      <c r="A581" s="218" t="s">
        <v>190</v>
      </c>
      <c r="B581" s="218" t="s">
        <v>505</v>
      </c>
      <c r="C581" s="218">
        <v>7.06</v>
      </c>
      <c r="D581" s="229">
        <v>1</v>
      </c>
      <c r="E581" s="101">
        <f t="shared" si="1"/>
        <v>7.06</v>
      </c>
      <c r="F581" s="230"/>
      <c r="G581" s="227"/>
      <c r="H581" s="226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5.75" customHeight="1">
      <c r="A582" s="218" t="s">
        <v>191</v>
      </c>
      <c r="B582" s="218" t="s">
        <v>506</v>
      </c>
      <c r="C582" s="218">
        <v>8.82</v>
      </c>
      <c r="D582" s="229">
        <v>1</v>
      </c>
      <c r="E582" s="101">
        <f t="shared" si="1"/>
        <v>8.82</v>
      </c>
      <c r="F582" s="230"/>
      <c r="G582" s="227"/>
      <c r="H582" s="226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5.75" customHeight="1">
      <c r="A583" s="218" t="s">
        <v>192</v>
      </c>
      <c r="B583" s="218" t="s">
        <v>507</v>
      </c>
      <c r="C583" s="218">
        <v>10</v>
      </c>
      <c r="D583" s="229">
        <v>1</v>
      </c>
      <c r="E583" s="101">
        <f t="shared" si="1"/>
        <v>10</v>
      </c>
      <c r="F583" s="230"/>
      <c r="G583" s="227"/>
      <c r="H583" s="226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5.75" customHeight="1">
      <c r="A584" s="218" t="s">
        <v>193</v>
      </c>
      <c r="B584" s="218" t="s">
        <v>508</v>
      </c>
      <c r="C584" s="218">
        <v>11.76</v>
      </c>
      <c r="D584" s="229">
        <v>1</v>
      </c>
      <c r="E584" s="101">
        <f t="shared" si="1"/>
        <v>11.76</v>
      </c>
      <c r="F584" s="230"/>
      <c r="G584" s="227"/>
      <c r="H584" s="226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5.75" customHeight="1">
      <c r="A585" s="218" t="s">
        <v>194</v>
      </c>
      <c r="B585" s="218" t="s">
        <v>509</v>
      </c>
      <c r="C585" s="218">
        <v>20.59</v>
      </c>
      <c r="D585" s="229">
        <v>1</v>
      </c>
      <c r="E585" s="101">
        <f t="shared" si="1"/>
        <v>20.59</v>
      </c>
      <c r="F585" s="230"/>
      <c r="G585" s="227"/>
      <c r="H585" s="226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5.75" customHeight="1">
      <c r="A586" s="218" t="s">
        <v>195</v>
      </c>
      <c r="B586" s="218" t="s">
        <v>510</v>
      </c>
      <c r="C586" s="218">
        <v>23.53</v>
      </c>
      <c r="D586" s="229">
        <v>1</v>
      </c>
      <c r="E586" s="101">
        <f t="shared" si="1"/>
        <v>23.53</v>
      </c>
      <c r="F586" s="230"/>
      <c r="G586" s="227"/>
      <c r="H586" s="226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5.75" customHeight="1">
      <c r="A587" s="218" t="s">
        <v>196</v>
      </c>
      <c r="B587" s="218" t="s">
        <v>511</v>
      </c>
      <c r="C587" s="218">
        <v>64.709999999999994</v>
      </c>
      <c r="D587" s="229">
        <v>1</v>
      </c>
      <c r="E587" s="101">
        <f t="shared" si="1"/>
        <v>64.709999999999994</v>
      </c>
      <c r="F587" s="230"/>
      <c r="G587" s="227"/>
      <c r="H587" s="226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5.75" customHeight="1">
      <c r="A588" s="218" t="s">
        <v>197</v>
      </c>
      <c r="B588" s="218" t="s">
        <v>512</v>
      </c>
      <c r="C588" s="218">
        <v>20.59</v>
      </c>
      <c r="D588" s="229">
        <v>1</v>
      </c>
      <c r="E588" s="101">
        <f t="shared" si="1"/>
        <v>20.59</v>
      </c>
      <c r="F588" s="230"/>
      <c r="G588" s="227"/>
      <c r="H588" s="226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5.75" customHeight="1">
      <c r="A589" s="218" t="s">
        <v>198</v>
      </c>
      <c r="B589" s="218" t="s">
        <v>513</v>
      </c>
      <c r="C589" s="218">
        <v>11.76</v>
      </c>
      <c r="D589" s="229">
        <v>1</v>
      </c>
      <c r="E589" s="101">
        <f t="shared" si="1"/>
        <v>11.76</v>
      </c>
      <c r="F589" s="230"/>
      <c r="G589" s="227"/>
      <c r="H589" s="226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5.75" customHeight="1">
      <c r="A590" s="218" t="s">
        <v>199</v>
      </c>
      <c r="B590" s="218" t="s">
        <v>514</v>
      </c>
      <c r="C590" s="218">
        <v>7.06</v>
      </c>
      <c r="D590" s="229">
        <v>1</v>
      </c>
      <c r="E590" s="101">
        <f t="shared" ref="E590:E653" si="2">C590*D590</f>
        <v>7.06</v>
      </c>
      <c r="F590" s="230"/>
      <c r="G590" s="227"/>
      <c r="H590" s="226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5.75" customHeight="1">
      <c r="A591" s="218">
        <v>0</v>
      </c>
      <c r="B591" s="218" t="s">
        <v>486</v>
      </c>
      <c r="C591" s="218">
        <v>0</v>
      </c>
      <c r="D591" s="229">
        <v>1</v>
      </c>
      <c r="E591" s="101">
        <f t="shared" si="2"/>
        <v>0</v>
      </c>
      <c r="F591" s="230"/>
      <c r="G591" s="227"/>
      <c r="H591" s="226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5.75" customHeight="1">
      <c r="A592" s="218" t="s">
        <v>200</v>
      </c>
      <c r="B592" s="218" t="s">
        <v>515</v>
      </c>
      <c r="C592" s="218">
        <v>7.06</v>
      </c>
      <c r="D592" s="229">
        <v>1</v>
      </c>
      <c r="E592" s="101">
        <f t="shared" si="2"/>
        <v>7.06</v>
      </c>
      <c r="F592" s="230"/>
      <c r="G592" s="227"/>
      <c r="H592" s="226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5.75" customHeight="1">
      <c r="A593" s="218" t="s">
        <v>202</v>
      </c>
      <c r="B593" s="218" t="s">
        <v>517</v>
      </c>
      <c r="C593" s="218">
        <v>10</v>
      </c>
      <c r="D593" s="229">
        <v>1</v>
      </c>
      <c r="E593" s="101">
        <f t="shared" si="2"/>
        <v>10</v>
      </c>
      <c r="F593" s="230"/>
      <c r="G593" s="227"/>
      <c r="H593" s="226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5.75" customHeight="1">
      <c r="A594" s="218" t="s">
        <v>201</v>
      </c>
      <c r="B594" s="218" t="s">
        <v>516</v>
      </c>
      <c r="C594" s="218">
        <v>8.82</v>
      </c>
      <c r="D594" s="229">
        <v>1</v>
      </c>
      <c r="E594" s="101">
        <f t="shared" si="2"/>
        <v>8.82</v>
      </c>
      <c r="F594" s="230"/>
      <c r="G594" s="227"/>
      <c r="H594" s="226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5.75" customHeight="1">
      <c r="A595" s="218" t="s">
        <v>203</v>
      </c>
      <c r="B595" s="218" t="s">
        <v>518</v>
      </c>
      <c r="C595" s="218">
        <v>14.71</v>
      </c>
      <c r="D595" s="229">
        <v>1</v>
      </c>
      <c r="E595" s="101">
        <f t="shared" si="2"/>
        <v>14.71</v>
      </c>
      <c r="F595" s="230"/>
      <c r="G595" s="227"/>
      <c r="H595" s="226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5.75" customHeight="1">
      <c r="A596" s="218" t="s">
        <v>206</v>
      </c>
      <c r="B596" s="218" t="s">
        <v>445</v>
      </c>
      <c r="C596" s="218">
        <v>20.59</v>
      </c>
      <c r="D596" s="229">
        <v>1</v>
      </c>
      <c r="E596" s="101">
        <f t="shared" si="2"/>
        <v>20.59</v>
      </c>
      <c r="F596" s="230"/>
      <c r="G596" s="227"/>
      <c r="H596" s="226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5.75" customHeight="1">
      <c r="A597" s="218" t="s">
        <v>204</v>
      </c>
      <c r="B597" s="218" t="s">
        <v>519</v>
      </c>
      <c r="C597" s="218">
        <v>20.59</v>
      </c>
      <c r="D597" s="229">
        <v>1</v>
      </c>
      <c r="E597" s="101">
        <f t="shared" si="2"/>
        <v>20.59</v>
      </c>
      <c r="F597" s="230"/>
      <c r="G597" s="227"/>
      <c r="H597" s="226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5.75" customHeight="1">
      <c r="A598" s="218" t="s">
        <v>205</v>
      </c>
      <c r="B598" s="218" t="s">
        <v>520</v>
      </c>
      <c r="C598" s="218">
        <v>23.53</v>
      </c>
      <c r="D598" s="229">
        <v>1</v>
      </c>
      <c r="E598" s="101">
        <f t="shared" si="2"/>
        <v>23.53</v>
      </c>
      <c r="F598" s="230"/>
      <c r="G598" s="227"/>
      <c r="H598" s="226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5.75" customHeight="1">
      <c r="A599" s="218" t="s">
        <v>207</v>
      </c>
      <c r="B599" s="218" t="s">
        <v>444</v>
      </c>
      <c r="C599" s="218">
        <v>14.71</v>
      </c>
      <c r="D599" s="229">
        <v>1</v>
      </c>
      <c r="E599" s="101">
        <f t="shared" si="2"/>
        <v>14.71</v>
      </c>
      <c r="F599" s="230"/>
      <c r="G599" s="227"/>
      <c r="H599" s="226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5.75" customHeight="1">
      <c r="A600" s="218" t="s">
        <v>765</v>
      </c>
      <c r="B600" s="218" t="s">
        <v>766</v>
      </c>
      <c r="C600" s="218">
        <v>20.59</v>
      </c>
      <c r="D600" s="229">
        <v>1</v>
      </c>
      <c r="E600" s="101">
        <f t="shared" si="2"/>
        <v>20.59</v>
      </c>
      <c r="F600" s="230"/>
      <c r="G600" s="227"/>
      <c r="H600" s="226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5.75" customHeight="1">
      <c r="A601" s="218" t="s">
        <v>751</v>
      </c>
      <c r="B601" s="218" t="s">
        <v>752</v>
      </c>
      <c r="C601" s="218">
        <v>58.82</v>
      </c>
      <c r="D601" s="229">
        <v>1</v>
      </c>
      <c r="E601" s="101">
        <f t="shared" si="2"/>
        <v>58.82</v>
      </c>
      <c r="F601" s="230"/>
      <c r="G601" s="227"/>
      <c r="H601" s="226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5.75" customHeight="1">
      <c r="A602" s="218" t="s">
        <v>730</v>
      </c>
      <c r="B602" s="218" t="s">
        <v>731</v>
      </c>
      <c r="C602" s="218">
        <v>41.18</v>
      </c>
      <c r="D602" s="229">
        <v>1</v>
      </c>
      <c r="E602" s="101">
        <f t="shared" si="2"/>
        <v>41.18</v>
      </c>
      <c r="F602" s="230"/>
      <c r="G602" s="227"/>
      <c r="H602" s="226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5.75" customHeight="1">
      <c r="A603" s="218" t="s">
        <v>732</v>
      </c>
      <c r="B603" s="218" t="s">
        <v>733</v>
      </c>
      <c r="C603" s="218">
        <v>58.82</v>
      </c>
      <c r="D603" s="229">
        <v>1</v>
      </c>
      <c r="E603" s="101">
        <f t="shared" si="2"/>
        <v>58.82</v>
      </c>
      <c r="F603" s="230"/>
      <c r="G603" s="227"/>
      <c r="H603" s="226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5.75" customHeight="1">
      <c r="A604" s="218" t="s">
        <v>753</v>
      </c>
      <c r="B604" s="218" t="s">
        <v>754</v>
      </c>
      <c r="C604" s="218">
        <v>58.82</v>
      </c>
      <c r="D604" s="229">
        <v>1</v>
      </c>
      <c r="E604" s="101">
        <f t="shared" si="2"/>
        <v>58.82</v>
      </c>
      <c r="F604" s="230"/>
      <c r="G604" s="227"/>
      <c r="H604" s="226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5.75" customHeight="1">
      <c r="A605" s="218" t="s">
        <v>755</v>
      </c>
      <c r="B605" s="218" t="s">
        <v>756</v>
      </c>
      <c r="C605" s="218">
        <v>41.18</v>
      </c>
      <c r="D605" s="229">
        <v>1</v>
      </c>
      <c r="E605" s="101">
        <f t="shared" si="2"/>
        <v>41.18</v>
      </c>
      <c r="F605" s="230"/>
      <c r="G605" s="227"/>
      <c r="H605" s="226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5.75" customHeight="1">
      <c r="A606" s="218" t="s">
        <v>757</v>
      </c>
      <c r="B606" s="218" t="s">
        <v>758</v>
      </c>
      <c r="C606" s="218">
        <v>58.82</v>
      </c>
      <c r="D606" s="229">
        <v>1</v>
      </c>
      <c r="E606" s="101">
        <f t="shared" si="2"/>
        <v>58.82</v>
      </c>
      <c r="F606" s="230"/>
      <c r="G606" s="227"/>
      <c r="H606" s="226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5.75" customHeight="1">
      <c r="A607" s="218" t="s">
        <v>759</v>
      </c>
      <c r="B607" s="218" t="s">
        <v>760</v>
      </c>
      <c r="C607" s="218">
        <v>64.709999999999994</v>
      </c>
      <c r="D607" s="229">
        <v>1</v>
      </c>
      <c r="E607" s="101">
        <f t="shared" si="2"/>
        <v>64.709999999999994</v>
      </c>
      <c r="F607" s="230"/>
      <c r="G607" s="227"/>
      <c r="H607" s="226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5.75" customHeight="1">
      <c r="A608" s="218" t="s">
        <v>761</v>
      </c>
      <c r="B608" s="218" t="s">
        <v>762</v>
      </c>
      <c r="C608" s="218">
        <v>41.18</v>
      </c>
      <c r="D608" s="229">
        <v>1</v>
      </c>
      <c r="E608" s="101">
        <f t="shared" si="2"/>
        <v>41.18</v>
      </c>
      <c r="F608" s="230"/>
      <c r="G608" s="227"/>
      <c r="H608" s="226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5.75" customHeight="1">
      <c r="A609" s="218" t="s">
        <v>763</v>
      </c>
      <c r="B609" s="218" t="s">
        <v>764</v>
      </c>
      <c r="C609" s="218">
        <v>64.709999999999994</v>
      </c>
      <c r="D609" s="229">
        <v>1</v>
      </c>
      <c r="E609" s="101">
        <f t="shared" si="2"/>
        <v>64.709999999999994</v>
      </c>
      <c r="F609" s="230"/>
      <c r="G609" s="227"/>
      <c r="H609" s="226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5.75" customHeight="1">
      <c r="A610" s="218" t="s">
        <v>208</v>
      </c>
      <c r="B610" s="218" t="s">
        <v>457</v>
      </c>
      <c r="C610" s="218">
        <v>7.06</v>
      </c>
      <c r="D610" s="229">
        <v>1</v>
      </c>
      <c r="E610" s="101">
        <f t="shared" si="2"/>
        <v>7.06</v>
      </c>
      <c r="F610" s="230"/>
      <c r="G610" s="227"/>
      <c r="H610" s="226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5.75" customHeight="1">
      <c r="A611" s="218" t="s">
        <v>209</v>
      </c>
      <c r="B611" s="218" t="s">
        <v>446</v>
      </c>
      <c r="C611" s="218">
        <v>82.35</v>
      </c>
      <c r="D611" s="229">
        <v>1</v>
      </c>
      <c r="E611" s="101">
        <f t="shared" si="2"/>
        <v>82.35</v>
      </c>
      <c r="F611" s="230"/>
      <c r="G611" s="227"/>
      <c r="H611" s="226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5.75" customHeight="1">
      <c r="A612" s="218" t="s">
        <v>163</v>
      </c>
      <c r="B612" s="218">
        <v>0</v>
      </c>
      <c r="C612" s="218">
        <v>0</v>
      </c>
      <c r="D612" s="229">
        <v>1</v>
      </c>
      <c r="E612" s="101">
        <f t="shared" si="2"/>
        <v>0</v>
      </c>
      <c r="F612" s="230"/>
      <c r="G612" s="227"/>
      <c r="H612" s="226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5.75" customHeight="1">
      <c r="A613" s="218" t="s">
        <v>210</v>
      </c>
      <c r="B613" s="218" t="s">
        <v>521</v>
      </c>
      <c r="C613" s="218">
        <v>76.47</v>
      </c>
      <c r="D613" s="229">
        <v>1</v>
      </c>
      <c r="E613" s="101">
        <f t="shared" si="2"/>
        <v>76.47</v>
      </c>
      <c r="F613" s="230"/>
      <c r="G613" s="227"/>
      <c r="H613" s="226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5.75" customHeight="1">
      <c r="A614" s="218" t="s">
        <v>211</v>
      </c>
      <c r="B614" s="218" t="s">
        <v>522</v>
      </c>
      <c r="C614" s="218">
        <v>76.47</v>
      </c>
      <c r="D614" s="229">
        <v>1</v>
      </c>
      <c r="E614" s="101">
        <f t="shared" si="2"/>
        <v>76.47</v>
      </c>
      <c r="F614" s="230"/>
      <c r="G614" s="227"/>
      <c r="H614" s="226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5.75" customHeight="1">
      <c r="A615" s="218" t="s">
        <v>212</v>
      </c>
      <c r="B615" s="218" t="s">
        <v>523</v>
      </c>
      <c r="C615" s="218">
        <v>141.18</v>
      </c>
      <c r="D615" s="229">
        <v>1</v>
      </c>
      <c r="E615" s="101">
        <f t="shared" si="2"/>
        <v>141.18</v>
      </c>
      <c r="F615" s="230"/>
      <c r="G615" s="227"/>
      <c r="H615" s="226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5.75" customHeight="1">
      <c r="A616" s="218" t="s">
        <v>163</v>
      </c>
      <c r="B616" s="218" t="s">
        <v>486</v>
      </c>
      <c r="C616" s="218">
        <v>0</v>
      </c>
      <c r="D616" s="229">
        <v>1</v>
      </c>
      <c r="E616" s="101">
        <f t="shared" si="2"/>
        <v>0</v>
      </c>
      <c r="F616" s="230"/>
      <c r="G616" s="227"/>
      <c r="H616" s="226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5.75" customHeight="1">
      <c r="A617" s="218" t="s">
        <v>213</v>
      </c>
      <c r="B617" s="218" t="s">
        <v>524</v>
      </c>
      <c r="C617" s="218">
        <v>55.88</v>
      </c>
      <c r="D617" s="229">
        <v>1</v>
      </c>
      <c r="E617" s="101">
        <f t="shared" si="2"/>
        <v>55.88</v>
      </c>
      <c r="F617" s="230"/>
      <c r="G617" s="227"/>
      <c r="H617" s="226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5.75" customHeight="1">
      <c r="A618" s="218" t="s">
        <v>214</v>
      </c>
      <c r="B618" s="218" t="s">
        <v>525</v>
      </c>
      <c r="C618" s="218">
        <v>55.88</v>
      </c>
      <c r="D618" s="229">
        <v>1</v>
      </c>
      <c r="E618" s="101">
        <f t="shared" si="2"/>
        <v>55.88</v>
      </c>
      <c r="F618" s="230"/>
      <c r="G618" s="227"/>
      <c r="H618" s="226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5.75" customHeight="1">
      <c r="A619" s="218" t="s">
        <v>215</v>
      </c>
      <c r="B619" s="218" t="s">
        <v>526</v>
      </c>
      <c r="C619" s="218">
        <v>55.88</v>
      </c>
      <c r="D619" s="229">
        <v>1</v>
      </c>
      <c r="E619" s="101">
        <f t="shared" si="2"/>
        <v>55.88</v>
      </c>
      <c r="F619" s="230"/>
      <c r="G619" s="227"/>
      <c r="H619" s="226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5.75" customHeight="1">
      <c r="A620" s="218" t="s">
        <v>163</v>
      </c>
      <c r="B620" s="218" t="s">
        <v>486</v>
      </c>
      <c r="C620" s="218">
        <v>0</v>
      </c>
      <c r="D620" s="229">
        <v>1</v>
      </c>
      <c r="E620" s="101">
        <f t="shared" si="2"/>
        <v>0</v>
      </c>
      <c r="F620" s="230"/>
      <c r="G620" s="227"/>
      <c r="H620" s="226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5.75" customHeight="1">
      <c r="A621" s="218" t="s">
        <v>216</v>
      </c>
      <c r="B621" s="218" t="s">
        <v>527</v>
      </c>
      <c r="C621" s="218">
        <v>70.59</v>
      </c>
      <c r="D621" s="229">
        <v>1</v>
      </c>
      <c r="E621" s="101">
        <f t="shared" si="2"/>
        <v>70.59</v>
      </c>
      <c r="F621" s="230"/>
      <c r="G621" s="227"/>
      <c r="H621" s="226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5.75" customHeight="1">
      <c r="A622" s="218" t="s">
        <v>217</v>
      </c>
      <c r="B622" s="218" t="s">
        <v>528</v>
      </c>
      <c r="C622" s="218">
        <v>70.59</v>
      </c>
      <c r="D622" s="229">
        <v>1</v>
      </c>
      <c r="E622" s="101">
        <f t="shared" si="2"/>
        <v>70.59</v>
      </c>
      <c r="F622" s="230"/>
      <c r="G622" s="227"/>
      <c r="H622" s="226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5.75" customHeight="1">
      <c r="A623" s="218" t="s">
        <v>218</v>
      </c>
      <c r="B623" s="218" t="s">
        <v>529</v>
      </c>
      <c r="C623" s="218">
        <v>70.59</v>
      </c>
      <c r="D623" s="229">
        <v>1</v>
      </c>
      <c r="E623" s="101">
        <f t="shared" si="2"/>
        <v>70.59</v>
      </c>
      <c r="F623" s="230"/>
      <c r="G623" s="227"/>
      <c r="H623" s="226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5.75" customHeight="1">
      <c r="A624" s="218" t="s">
        <v>219</v>
      </c>
      <c r="B624" s="218" t="s">
        <v>530</v>
      </c>
      <c r="C624" s="218">
        <v>82.35</v>
      </c>
      <c r="D624" s="229">
        <v>1</v>
      </c>
      <c r="E624" s="101">
        <f t="shared" si="2"/>
        <v>82.35</v>
      </c>
      <c r="F624" s="230"/>
      <c r="G624" s="227"/>
      <c r="H624" s="226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5.75" customHeight="1">
      <c r="A625" s="218" t="s">
        <v>163</v>
      </c>
      <c r="B625" s="218" t="s">
        <v>486</v>
      </c>
      <c r="C625" s="218">
        <v>0</v>
      </c>
      <c r="D625" s="229">
        <v>1</v>
      </c>
      <c r="E625" s="101">
        <f t="shared" si="2"/>
        <v>0</v>
      </c>
      <c r="F625" s="230"/>
      <c r="G625" s="227"/>
      <c r="H625" s="226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5.75" customHeight="1">
      <c r="A626" s="218" t="s">
        <v>220</v>
      </c>
      <c r="B626" s="218" t="s">
        <v>531</v>
      </c>
      <c r="C626" s="218">
        <v>38.24</v>
      </c>
      <c r="D626" s="229">
        <v>1</v>
      </c>
      <c r="E626" s="101">
        <f t="shared" si="2"/>
        <v>38.24</v>
      </c>
      <c r="F626" s="230"/>
      <c r="G626" s="227"/>
      <c r="H626" s="226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5.75" customHeight="1">
      <c r="A627" s="218" t="s">
        <v>221</v>
      </c>
      <c r="B627" s="218" t="s">
        <v>532</v>
      </c>
      <c r="C627" s="218">
        <v>38.24</v>
      </c>
      <c r="D627" s="229">
        <v>1</v>
      </c>
      <c r="E627" s="101">
        <f t="shared" si="2"/>
        <v>38.24</v>
      </c>
      <c r="F627" s="230"/>
      <c r="G627" s="227"/>
      <c r="H627" s="226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5.75" customHeight="1">
      <c r="A628" s="218" t="s">
        <v>222</v>
      </c>
      <c r="B628" s="218" t="s">
        <v>533</v>
      </c>
      <c r="C628" s="218">
        <v>38.24</v>
      </c>
      <c r="D628" s="229">
        <v>1</v>
      </c>
      <c r="E628" s="101">
        <f t="shared" si="2"/>
        <v>38.24</v>
      </c>
      <c r="F628" s="230"/>
      <c r="G628" s="227"/>
      <c r="H628" s="226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5.75" customHeight="1">
      <c r="A629" s="218" t="s">
        <v>163</v>
      </c>
      <c r="B629" s="218" t="s">
        <v>486</v>
      </c>
      <c r="C629" s="218">
        <v>0</v>
      </c>
      <c r="D629" s="229">
        <v>1</v>
      </c>
      <c r="E629" s="101">
        <f t="shared" si="2"/>
        <v>0</v>
      </c>
      <c r="F629" s="230"/>
      <c r="G629" s="227"/>
      <c r="H629" s="226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5.75" customHeight="1">
      <c r="A630" s="218" t="s">
        <v>223</v>
      </c>
      <c r="B630" s="218" t="s">
        <v>534</v>
      </c>
      <c r="C630" s="218">
        <v>61.65</v>
      </c>
      <c r="D630" s="229">
        <v>1</v>
      </c>
      <c r="E630" s="101">
        <f t="shared" si="2"/>
        <v>61.65</v>
      </c>
      <c r="F630" s="230"/>
      <c r="G630" s="227"/>
      <c r="H630" s="226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5.75" customHeight="1">
      <c r="A631" s="218" t="s">
        <v>224</v>
      </c>
      <c r="B631" s="218" t="s">
        <v>535</v>
      </c>
      <c r="C631" s="218">
        <v>61.65</v>
      </c>
      <c r="D631" s="229">
        <v>1</v>
      </c>
      <c r="E631" s="101">
        <f t="shared" si="2"/>
        <v>61.65</v>
      </c>
      <c r="F631" s="230"/>
      <c r="G631" s="227"/>
      <c r="H631" s="226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5.75" customHeight="1">
      <c r="A632" s="218" t="s">
        <v>225</v>
      </c>
      <c r="B632" s="218" t="s">
        <v>536</v>
      </c>
      <c r="C632" s="218">
        <v>61.65</v>
      </c>
      <c r="D632" s="229">
        <v>1</v>
      </c>
      <c r="E632" s="101">
        <f t="shared" si="2"/>
        <v>61.65</v>
      </c>
      <c r="F632" s="230"/>
      <c r="G632" s="227"/>
      <c r="H632" s="226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5.75" customHeight="1">
      <c r="A633" s="218" t="s">
        <v>226</v>
      </c>
      <c r="B633" s="218" t="s">
        <v>537</v>
      </c>
      <c r="C633" s="218">
        <v>82.35</v>
      </c>
      <c r="D633" s="229">
        <v>1</v>
      </c>
      <c r="E633" s="101">
        <f t="shared" si="2"/>
        <v>82.35</v>
      </c>
      <c r="F633" s="230"/>
      <c r="G633" s="227"/>
      <c r="H633" s="226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5.75" customHeight="1">
      <c r="A634" s="218" t="s">
        <v>163</v>
      </c>
      <c r="B634" s="218" t="s">
        <v>486</v>
      </c>
      <c r="C634" s="218">
        <v>0</v>
      </c>
      <c r="D634" s="229">
        <v>1</v>
      </c>
      <c r="E634" s="101">
        <f t="shared" si="2"/>
        <v>0</v>
      </c>
      <c r="F634" s="230"/>
      <c r="G634" s="227"/>
      <c r="H634" s="226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5.75" customHeight="1">
      <c r="A635" s="218" t="s">
        <v>227</v>
      </c>
      <c r="B635" s="218" t="s">
        <v>538</v>
      </c>
      <c r="C635" s="218">
        <v>17.649999999999999</v>
      </c>
      <c r="D635" s="229">
        <v>1</v>
      </c>
      <c r="E635" s="101">
        <f t="shared" si="2"/>
        <v>17.649999999999999</v>
      </c>
      <c r="F635" s="230"/>
      <c r="G635" s="227"/>
      <c r="H635" s="226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5.75" customHeight="1">
      <c r="A636" s="218" t="s">
        <v>228</v>
      </c>
      <c r="B636" s="218" t="s">
        <v>452</v>
      </c>
      <c r="C636" s="218">
        <v>20</v>
      </c>
      <c r="D636" s="229">
        <v>1</v>
      </c>
      <c r="E636" s="101">
        <f t="shared" si="2"/>
        <v>20</v>
      </c>
      <c r="F636" s="230"/>
      <c r="G636" s="227"/>
      <c r="H636" s="226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5.75" customHeight="1">
      <c r="A637" s="218" t="s">
        <v>229</v>
      </c>
      <c r="B637" s="218" t="s">
        <v>539</v>
      </c>
      <c r="C637" s="218">
        <v>23.53</v>
      </c>
      <c r="D637" s="229">
        <v>1</v>
      </c>
      <c r="E637" s="101">
        <f t="shared" si="2"/>
        <v>23.53</v>
      </c>
      <c r="F637" s="230"/>
      <c r="G637" s="227"/>
      <c r="H637" s="226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5.75" customHeight="1">
      <c r="A638" s="218" t="s">
        <v>230</v>
      </c>
      <c r="B638" s="218" t="s">
        <v>540</v>
      </c>
      <c r="C638" s="218">
        <v>29.41</v>
      </c>
      <c r="D638" s="229">
        <v>1</v>
      </c>
      <c r="E638" s="101">
        <f t="shared" si="2"/>
        <v>29.41</v>
      </c>
      <c r="F638" s="230"/>
      <c r="G638" s="227"/>
      <c r="H638" s="226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5.75" customHeight="1">
      <c r="A639" s="218" t="s">
        <v>231</v>
      </c>
      <c r="B639" s="218" t="s">
        <v>541</v>
      </c>
      <c r="C639" s="218">
        <v>35.29</v>
      </c>
      <c r="D639" s="229">
        <v>1</v>
      </c>
      <c r="E639" s="101">
        <f t="shared" si="2"/>
        <v>35.29</v>
      </c>
      <c r="F639" s="230"/>
      <c r="G639" s="227"/>
      <c r="H639" s="226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5.75" customHeight="1">
      <c r="A640" s="218" t="s">
        <v>232</v>
      </c>
      <c r="B640" s="218" t="s">
        <v>542</v>
      </c>
      <c r="C640" s="218">
        <v>17.649999999999999</v>
      </c>
      <c r="D640" s="229">
        <v>1</v>
      </c>
      <c r="E640" s="101">
        <f t="shared" si="2"/>
        <v>17.649999999999999</v>
      </c>
      <c r="F640" s="230"/>
      <c r="G640" s="227"/>
      <c r="H640" s="226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5.75" customHeight="1">
      <c r="A641" s="218" t="s">
        <v>233</v>
      </c>
      <c r="B641" s="218" t="s">
        <v>455</v>
      </c>
      <c r="C641" s="218">
        <v>20</v>
      </c>
      <c r="D641" s="229">
        <v>1</v>
      </c>
      <c r="E641" s="101">
        <f t="shared" si="2"/>
        <v>20</v>
      </c>
      <c r="F641" s="230"/>
      <c r="G641" s="227"/>
      <c r="H641" s="226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5.75" customHeight="1">
      <c r="A642" s="218" t="s">
        <v>234</v>
      </c>
      <c r="B642" s="218" t="s">
        <v>543</v>
      </c>
      <c r="C642" s="218">
        <v>23.53</v>
      </c>
      <c r="D642" s="229">
        <v>1</v>
      </c>
      <c r="E642" s="101">
        <f t="shared" si="2"/>
        <v>23.53</v>
      </c>
      <c r="F642" s="230"/>
      <c r="G642" s="227"/>
      <c r="H642" s="226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5.75" customHeight="1">
      <c r="A643" s="218" t="s">
        <v>235</v>
      </c>
      <c r="B643" s="218" t="s">
        <v>544</v>
      </c>
      <c r="C643" s="218">
        <v>29.41</v>
      </c>
      <c r="D643" s="229">
        <v>1</v>
      </c>
      <c r="E643" s="101">
        <f t="shared" si="2"/>
        <v>29.41</v>
      </c>
      <c r="F643" s="230"/>
      <c r="G643" s="227"/>
      <c r="H643" s="226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5.75" customHeight="1">
      <c r="A644" s="218" t="s">
        <v>236</v>
      </c>
      <c r="B644" s="218" t="s">
        <v>545</v>
      </c>
      <c r="C644" s="218">
        <v>35.29</v>
      </c>
      <c r="D644" s="229">
        <v>1</v>
      </c>
      <c r="E644" s="101">
        <f t="shared" si="2"/>
        <v>35.29</v>
      </c>
      <c r="F644" s="230"/>
      <c r="G644" s="227"/>
      <c r="H644" s="226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5.75" customHeight="1">
      <c r="A645" s="218" t="s">
        <v>237</v>
      </c>
      <c r="B645" s="218" t="s">
        <v>453</v>
      </c>
      <c r="C645" s="218">
        <v>10</v>
      </c>
      <c r="D645" s="229">
        <v>1</v>
      </c>
      <c r="E645" s="101">
        <f t="shared" si="2"/>
        <v>10</v>
      </c>
      <c r="F645" s="230"/>
      <c r="G645" s="227"/>
      <c r="H645" s="226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5.75" customHeight="1">
      <c r="A646" s="218" t="s">
        <v>238</v>
      </c>
      <c r="B646" s="218" t="s">
        <v>546</v>
      </c>
      <c r="C646" s="218">
        <v>10</v>
      </c>
      <c r="D646" s="229">
        <v>1</v>
      </c>
      <c r="E646" s="101">
        <f t="shared" si="2"/>
        <v>10</v>
      </c>
      <c r="F646" s="230"/>
      <c r="G646" s="227"/>
      <c r="H646" s="226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5.75" customHeight="1">
      <c r="A647" s="218" t="s">
        <v>163</v>
      </c>
      <c r="B647" s="218" t="s">
        <v>486</v>
      </c>
      <c r="C647" s="218">
        <v>0</v>
      </c>
      <c r="D647" s="229">
        <v>1</v>
      </c>
      <c r="E647" s="101">
        <f t="shared" si="2"/>
        <v>0</v>
      </c>
      <c r="F647" s="230"/>
      <c r="G647" s="227"/>
      <c r="H647" s="226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5.75" customHeight="1">
      <c r="A648" s="218" t="s">
        <v>239</v>
      </c>
      <c r="B648" s="218" t="s">
        <v>547</v>
      </c>
      <c r="C648" s="218">
        <v>18.82</v>
      </c>
      <c r="D648" s="229">
        <v>1</v>
      </c>
      <c r="E648" s="101">
        <f t="shared" si="2"/>
        <v>18.82</v>
      </c>
      <c r="F648" s="230"/>
      <c r="G648" s="227"/>
      <c r="H648" s="226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5.75" customHeight="1">
      <c r="A649" s="218" t="s">
        <v>240</v>
      </c>
      <c r="B649" s="218" t="s">
        <v>456</v>
      </c>
      <c r="C649" s="218">
        <v>18.82</v>
      </c>
      <c r="D649" s="229">
        <v>1</v>
      </c>
      <c r="E649" s="101">
        <f t="shared" si="2"/>
        <v>18.82</v>
      </c>
      <c r="F649" s="230"/>
      <c r="G649" s="227"/>
      <c r="H649" s="226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5.75" customHeight="1">
      <c r="A650" s="218" t="s">
        <v>241</v>
      </c>
      <c r="B650" s="218" t="s">
        <v>548</v>
      </c>
      <c r="C650" s="218">
        <v>18.82</v>
      </c>
      <c r="D650" s="229">
        <v>1</v>
      </c>
      <c r="E650" s="101">
        <f t="shared" si="2"/>
        <v>18.82</v>
      </c>
      <c r="F650" s="230"/>
      <c r="G650" s="227"/>
      <c r="H650" s="226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5.75" customHeight="1">
      <c r="A651" s="218" t="s">
        <v>242</v>
      </c>
      <c r="B651" s="218" t="s">
        <v>549</v>
      </c>
      <c r="C651" s="218">
        <v>18.82</v>
      </c>
      <c r="D651" s="229">
        <v>1</v>
      </c>
      <c r="E651" s="101">
        <f t="shared" si="2"/>
        <v>18.82</v>
      </c>
      <c r="F651" s="230"/>
      <c r="G651" s="227"/>
      <c r="H651" s="226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5.75" customHeight="1">
      <c r="A652" s="218" t="s">
        <v>243</v>
      </c>
      <c r="B652" s="218" t="s">
        <v>550</v>
      </c>
      <c r="C652" s="218">
        <v>18.82</v>
      </c>
      <c r="D652" s="229">
        <v>1</v>
      </c>
      <c r="E652" s="101">
        <f t="shared" si="2"/>
        <v>18.82</v>
      </c>
      <c r="F652" s="230"/>
      <c r="G652" s="227"/>
      <c r="H652" s="226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5.75" customHeight="1">
      <c r="A653" s="218" t="s">
        <v>244</v>
      </c>
      <c r="B653" s="218" t="s">
        <v>454</v>
      </c>
      <c r="C653" s="218">
        <v>5.88</v>
      </c>
      <c r="D653" s="229">
        <v>1</v>
      </c>
      <c r="E653" s="101">
        <f t="shared" si="2"/>
        <v>5.88</v>
      </c>
      <c r="F653" s="230"/>
      <c r="G653" s="227"/>
      <c r="H653" s="226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5.75" customHeight="1">
      <c r="A654" s="218" t="s">
        <v>245</v>
      </c>
      <c r="B654" s="218" t="s">
        <v>551</v>
      </c>
      <c r="C654" s="218">
        <v>5.88</v>
      </c>
      <c r="D654" s="229">
        <v>1</v>
      </c>
      <c r="E654" s="101">
        <f t="shared" ref="E654:E717" si="3">C654*D654</f>
        <v>5.88</v>
      </c>
      <c r="F654" s="230"/>
      <c r="G654" s="227"/>
      <c r="H654" s="226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5.75" customHeight="1">
      <c r="A655" s="218" t="s">
        <v>163</v>
      </c>
      <c r="B655" s="218" t="s">
        <v>486</v>
      </c>
      <c r="C655" s="218">
        <v>0</v>
      </c>
      <c r="D655" s="229">
        <v>1</v>
      </c>
      <c r="E655" s="101">
        <f t="shared" si="3"/>
        <v>0</v>
      </c>
      <c r="F655" s="230"/>
      <c r="G655" s="227"/>
      <c r="H655" s="226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5.75" customHeight="1">
      <c r="A656" s="218" t="s">
        <v>246</v>
      </c>
      <c r="B656" s="218" t="s">
        <v>552</v>
      </c>
      <c r="C656" s="218">
        <v>0</v>
      </c>
      <c r="D656" s="229">
        <v>1</v>
      </c>
      <c r="E656" s="101">
        <f t="shared" si="3"/>
        <v>0</v>
      </c>
      <c r="F656" s="230"/>
      <c r="G656" s="227"/>
      <c r="H656" s="226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5.75" customHeight="1">
      <c r="A657" s="218" t="s">
        <v>247</v>
      </c>
      <c r="B657" s="218" t="s">
        <v>553</v>
      </c>
      <c r="C657" s="218">
        <v>0</v>
      </c>
      <c r="D657" s="229">
        <v>1</v>
      </c>
      <c r="E657" s="101">
        <f t="shared" si="3"/>
        <v>0</v>
      </c>
      <c r="F657" s="230"/>
      <c r="G657" s="227"/>
      <c r="H657" s="226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5.75" customHeight="1">
      <c r="A658" s="218" t="s">
        <v>248</v>
      </c>
      <c r="B658" s="218" t="s">
        <v>554</v>
      </c>
      <c r="C658" s="218">
        <v>0</v>
      </c>
      <c r="D658" s="229">
        <v>1</v>
      </c>
      <c r="E658" s="101">
        <f t="shared" si="3"/>
        <v>0</v>
      </c>
      <c r="F658" s="230"/>
      <c r="G658" s="227"/>
      <c r="H658" s="226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5.75" customHeight="1">
      <c r="A659" s="218" t="s">
        <v>249</v>
      </c>
      <c r="B659" s="218" t="s">
        <v>555</v>
      </c>
      <c r="C659" s="218">
        <v>0</v>
      </c>
      <c r="D659" s="229">
        <v>1</v>
      </c>
      <c r="E659" s="101">
        <f t="shared" si="3"/>
        <v>0</v>
      </c>
      <c r="F659" s="230"/>
      <c r="G659" s="227"/>
      <c r="H659" s="226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5.75" customHeight="1">
      <c r="A660" s="218" t="s">
        <v>250</v>
      </c>
      <c r="B660" s="218" t="s">
        <v>556</v>
      </c>
      <c r="C660" s="218">
        <v>0</v>
      </c>
      <c r="D660" s="229">
        <v>1</v>
      </c>
      <c r="E660" s="101">
        <f t="shared" si="3"/>
        <v>0</v>
      </c>
      <c r="F660" s="230"/>
      <c r="G660" s="227"/>
      <c r="H660" s="226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5.75" customHeight="1">
      <c r="A661" s="218" t="s">
        <v>251</v>
      </c>
      <c r="B661" s="218" t="s">
        <v>557</v>
      </c>
      <c r="C661" s="218">
        <v>0</v>
      </c>
      <c r="D661" s="229">
        <v>1</v>
      </c>
      <c r="E661" s="101">
        <f t="shared" si="3"/>
        <v>0</v>
      </c>
      <c r="F661" s="230"/>
      <c r="G661" s="227"/>
      <c r="H661" s="226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5.75" customHeight="1">
      <c r="A662" s="218" t="s">
        <v>252</v>
      </c>
      <c r="B662" s="218" t="s">
        <v>558</v>
      </c>
      <c r="C662" s="218">
        <v>0</v>
      </c>
      <c r="D662" s="229">
        <v>1</v>
      </c>
      <c r="E662" s="101">
        <f t="shared" si="3"/>
        <v>0</v>
      </c>
      <c r="F662" s="230"/>
      <c r="G662" s="227"/>
      <c r="H662" s="226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5.75" customHeight="1">
      <c r="A663" s="218" t="s">
        <v>253</v>
      </c>
      <c r="B663" s="218" t="s">
        <v>559</v>
      </c>
      <c r="C663" s="218">
        <v>0</v>
      </c>
      <c r="D663" s="229">
        <v>1</v>
      </c>
      <c r="E663" s="101">
        <f t="shared" si="3"/>
        <v>0</v>
      </c>
      <c r="F663" s="230"/>
      <c r="G663" s="227"/>
      <c r="H663" s="226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5.75" customHeight="1">
      <c r="A664" s="218" t="s">
        <v>254</v>
      </c>
      <c r="B664" s="218" t="s">
        <v>560</v>
      </c>
      <c r="C664" s="218">
        <v>0</v>
      </c>
      <c r="D664" s="229">
        <v>1</v>
      </c>
      <c r="E664" s="101">
        <f t="shared" si="3"/>
        <v>0</v>
      </c>
      <c r="F664" s="230"/>
      <c r="G664" s="227"/>
      <c r="H664" s="226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5.75" customHeight="1">
      <c r="A665" s="218" t="s">
        <v>255</v>
      </c>
      <c r="B665" s="218" t="s">
        <v>561</v>
      </c>
      <c r="C665" s="218">
        <v>0</v>
      </c>
      <c r="D665" s="229">
        <v>1</v>
      </c>
      <c r="E665" s="101">
        <f t="shared" si="3"/>
        <v>0</v>
      </c>
      <c r="F665" s="230"/>
      <c r="G665" s="227"/>
      <c r="H665" s="226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5.75" customHeight="1">
      <c r="A666" s="218" t="s">
        <v>256</v>
      </c>
      <c r="B666" s="218" t="s">
        <v>562</v>
      </c>
      <c r="C666" s="218">
        <v>76.47</v>
      </c>
      <c r="D666" s="229">
        <v>1</v>
      </c>
      <c r="E666" s="101">
        <f t="shared" si="3"/>
        <v>76.47</v>
      </c>
      <c r="F666" s="230"/>
      <c r="G666" s="227"/>
      <c r="H666" s="226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5.75" customHeight="1">
      <c r="A667" s="218" t="s">
        <v>257</v>
      </c>
      <c r="B667" s="218" t="s">
        <v>563</v>
      </c>
      <c r="C667" s="218">
        <v>0</v>
      </c>
      <c r="D667" s="229">
        <v>1</v>
      </c>
      <c r="E667" s="101">
        <f t="shared" si="3"/>
        <v>0</v>
      </c>
      <c r="F667" s="230"/>
      <c r="G667" s="227"/>
      <c r="H667" s="226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5.75" customHeight="1">
      <c r="A668" s="218" t="s">
        <v>258</v>
      </c>
      <c r="B668" s="218" t="s">
        <v>564</v>
      </c>
      <c r="C668" s="218">
        <v>0</v>
      </c>
      <c r="D668" s="229">
        <v>1</v>
      </c>
      <c r="E668" s="101">
        <f t="shared" si="3"/>
        <v>0</v>
      </c>
      <c r="F668" s="230"/>
      <c r="G668" s="227"/>
      <c r="H668" s="226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5.75" customHeight="1">
      <c r="A669" s="218" t="s">
        <v>259</v>
      </c>
      <c r="B669" s="218" t="s">
        <v>565</v>
      </c>
      <c r="C669" s="218">
        <v>0</v>
      </c>
      <c r="D669" s="229">
        <v>1</v>
      </c>
      <c r="E669" s="101">
        <f t="shared" si="3"/>
        <v>0</v>
      </c>
      <c r="F669" s="230"/>
      <c r="G669" s="227"/>
      <c r="H669" s="226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5.75" customHeight="1">
      <c r="A670" s="218" t="s">
        <v>260</v>
      </c>
      <c r="B670" s="218" t="s">
        <v>566</v>
      </c>
      <c r="C670" s="218">
        <v>0</v>
      </c>
      <c r="D670" s="229">
        <v>1</v>
      </c>
      <c r="E670" s="101">
        <f t="shared" si="3"/>
        <v>0</v>
      </c>
      <c r="F670" s="230"/>
      <c r="G670" s="227"/>
      <c r="H670" s="226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5.75" customHeight="1">
      <c r="A671" s="218" t="s">
        <v>261</v>
      </c>
      <c r="B671" s="218" t="s">
        <v>567</v>
      </c>
      <c r="C671" s="218">
        <v>0</v>
      </c>
      <c r="D671" s="229">
        <v>1</v>
      </c>
      <c r="E671" s="101">
        <f t="shared" si="3"/>
        <v>0</v>
      </c>
      <c r="F671" s="230"/>
      <c r="G671" s="227"/>
      <c r="H671" s="226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5.75" customHeight="1">
      <c r="A672" s="218" t="s">
        <v>262</v>
      </c>
      <c r="B672" s="218" t="s">
        <v>568</v>
      </c>
      <c r="C672" s="218">
        <v>0</v>
      </c>
      <c r="D672" s="229">
        <v>1</v>
      </c>
      <c r="E672" s="101">
        <f t="shared" si="3"/>
        <v>0</v>
      </c>
      <c r="F672" s="230"/>
      <c r="G672" s="227"/>
      <c r="H672" s="226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5.75" customHeight="1">
      <c r="A673" s="218" t="s">
        <v>163</v>
      </c>
      <c r="B673" s="218" t="s">
        <v>486</v>
      </c>
      <c r="C673" s="218">
        <v>0</v>
      </c>
      <c r="D673" s="229">
        <v>1</v>
      </c>
      <c r="E673" s="101">
        <f t="shared" si="3"/>
        <v>0</v>
      </c>
      <c r="F673" s="230"/>
      <c r="G673" s="227"/>
      <c r="H673" s="226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5.75" customHeight="1">
      <c r="A674" s="218" t="s">
        <v>163</v>
      </c>
      <c r="B674" s="218" t="s">
        <v>486</v>
      </c>
      <c r="C674" s="218">
        <v>0</v>
      </c>
      <c r="D674" s="229">
        <v>1</v>
      </c>
      <c r="E674" s="101">
        <f t="shared" si="3"/>
        <v>0</v>
      </c>
      <c r="F674" s="230"/>
      <c r="G674" s="227"/>
      <c r="H674" s="226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5.75" customHeight="1">
      <c r="A675" s="218" t="s">
        <v>163</v>
      </c>
      <c r="B675" s="218" t="s">
        <v>486</v>
      </c>
      <c r="C675" s="218">
        <v>0</v>
      </c>
      <c r="D675" s="229">
        <v>1</v>
      </c>
      <c r="E675" s="101">
        <f t="shared" si="3"/>
        <v>0</v>
      </c>
      <c r="F675" s="230"/>
      <c r="G675" s="227"/>
      <c r="H675" s="226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5.75" customHeight="1">
      <c r="A676" s="218" t="s">
        <v>263</v>
      </c>
      <c r="B676" s="218" t="s">
        <v>569</v>
      </c>
      <c r="C676" s="218">
        <v>0</v>
      </c>
      <c r="D676" s="229">
        <v>1</v>
      </c>
      <c r="E676" s="101">
        <f t="shared" si="3"/>
        <v>0</v>
      </c>
      <c r="F676" s="230"/>
      <c r="G676" s="227"/>
      <c r="H676" s="226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5.75" customHeight="1">
      <c r="A677" s="218" t="s">
        <v>264</v>
      </c>
      <c r="B677" s="218" t="s">
        <v>570</v>
      </c>
      <c r="C677" s="218">
        <v>0</v>
      </c>
      <c r="D677" s="229">
        <v>1</v>
      </c>
      <c r="E677" s="101">
        <f t="shared" si="3"/>
        <v>0</v>
      </c>
      <c r="F677" s="230"/>
      <c r="G677" s="227"/>
      <c r="H677" s="226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5.75" customHeight="1">
      <c r="A678" s="218" t="s">
        <v>265</v>
      </c>
      <c r="B678" s="218" t="s">
        <v>571</v>
      </c>
      <c r="C678" s="218">
        <v>0</v>
      </c>
      <c r="D678" s="229">
        <v>1</v>
      </c>
      <c r="E678" s="101">
        <f t="shared" si="3"/>
        <v>0</v>
      </c>
      <c r="F678" s="230"/>
      <c r="G678" s="227"/>
      <c r="H678" s="226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5.75" customHeight="1">
      <c r="A679" s="218" t="s">
        <v>266</v>
      </c>
      <c r="B679" s="218" t="s">
        <v>572</v>
      </c>
      <c r="C679" s="218">
        <v>0</v>
      </c>
      <c r="D679" s="229">
        <v>1</v>
      </c>
      <c r="E679" s="101">
        <f t="shared" si="3"/>
        <v>0</v>
      </c>
      <c r="F679" s="230"/>
      <c r="G679" s="227"/>
      <c r="H679" s="226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5.75" customHeight="1">
      <c r="A680" s="218" t="s">
        <v>267</v>
      </c>
      <c r="B680" s="218" t="s">
        <v>573</v>
      </c>
      <c r="C680" s="218">
        <v>0</v>
      </c>
      <c r="D680" s="229">
        <v>1</v>
      </c>
      <c r="E680" s="101">
        <f t="shared" si="3"/>
        <v>0</v>
      </c>
      <c r="F680" s="230"/>
      <c r="G680" s="227"/>
      <c r="H680" s="226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5.75" customHeight="1">
      <c r="A681" s="218" t="s">
        <v>268</v>
      </c>
      <c r="B681" s="218" t="s">
        <v>574</v>
      </c>
      <c r="C681" s="218">
        <v>0</v>
      </c>
      <c r="D681" s="229">
        <v>1</v>
      </c>
      <c r="E681" s="101">
        <f t="shared" si="3"/>
        <v>0</v>
      </c>
      <c r="F681" s="230"/>
      <c r="G681" s="227"/>
      <c r="H681" s="226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5.75" customHeight="1">
      <c r="A682" s="218" t="s">
        <v>269</v>
      </c>
      <c r="B682" s="218" t="s">
        <v>575</v>
      </c>
      <c r="C682" s="218">
        <v>0</v>
      </c>
      <c r="D682" s="229">
        <v>1</v>
      </c>
      <c r="E682" s="101">
        <f t="shared" si="3"/>
        <v>0</v>
      </c>
      <c r="F682" s="230"/>
      <c r="G682" s="227"/>
      <c r="H682" s="226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5.75" customHeight="1">
      <c r="A683" s="218" t="s">
        <v>270</v>
      </c>
      <c r="B683" s="218" t="s">
        <v>576</v>
      </c>
      <c r="C683" s="218">
        <v>0</v>
      </c>
      <c r="D683" s="229">
        <v>1</v>
      </c>
      <c r="E683" s="101">
        <f t="shared" si="3"/>
        <v>0</v>
      </c>
      <c r="F683" s="230"/>
      <c r="G683" s="227"/>
      <c r="H683" s="226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5.75" customHeight="1">
      <c r="A684" s="218" t="s">
        <v>271</v>
      </c>
      <c r="B684" s="218" t="s">
        <v>577</v>
      </c>
      <c r="C684" s="218">
        <v>0</v>
      </c>
      <c r="D684" s="229">
        <v>1</v>
      </c>
      <c r="E684" s="101">
        <f t="shared" si="3"/>
        <v>0</v>
      </c>
      <c r="F684" s="230"/>
      <c r="G684" s="227"/>
      <c r="H684" s="226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5.75" customHeight="1">
      <c r="A685" s="218" t="s">
        <v>272</v>
      </c>
      <c r="B685" s="218" t="s">
        <v>578</v>
      </c>
      <c r="C685" s="218">
        <v>0</v>
      </c>
      <c r="D685" s="229">
        <v>1</v>
      </c>
      <c r="E685" s="101">
        <f t="shared" si="3"/>
        <v>0</v>
      </c>
      <c r="F685" s="230"/>
      <c r="G685" s="227"/>
      <c r="H685" s="226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5.75" customHeight="1">
      <c r="A686" s="218" t="s">
        <v>163</v>
      </c>
      <c r="B686" s="218" t="s">
        <v>486</v>
      </c>
      <c r="C686" s="218">
        <v>0</v>
      </c>
      <c r="D686" s="229">
        <v>1</v>
      </c>
      <c r="E686" s="101">
        <f t="shared" si="3"/>
        <v>0</v>
      </c>
      <c r="F686" s="230"/>
      <c r="G686" s="227"/>
      <c r="H686" s="226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5.75" customHeight="1">
      <c r="A687" s="218" t="s">
        <v>273</v>
      </c>
      <c r="B687" s="218" t="s">
        <v>579</v>
      </c>
      <c r="C687" s="218">
        <v>0</v>
      </c>
      <c r="D687" s="229">
        <v>1</v>
      </c>
      <c r="E687" s="101">
        <f t="shared" si="3"/>
        <v>0</v>
      </c>
      <c r="F687" s="230"/>
      <c r="G687" s="227"/>
      <c r="H687" s="226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5.75" customHeight="1">
      <c r="A688" s="218" t="s">
        <v>274</v>
      </c>
      <c r="B688" s="218" t="s">
        <v>580</v>
      </c>
      <c r="C688" s="218">
        <v>0</v>
      </c>
      <c r="D688" s="229">
        <v>1</v>
      </c>
      <c r="E688" s="101">
        <f t="shared" si="3"/>
        <v>0</v>
      </c>
      <c r="F688" s="230"/>
      <c r="G688" s="227"/>
      <c r="H688" s="226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5.75" customHeight="1">
      <c r="A689" s="218" t="s">
        <v>275</v>
      </c>
      <c r="B689" s="218" t="s">
        <v>581</v>
      </c>
      <c r="C689" s="218">
        <v>0</v>
      </c>
      <c r="D689" s="229">
        <v>1</v>
      </c>
      <c r="E689" s="101">
        <f t="shared" si="3"/>
        <v>0</v>
      </c>
      <c r="F689" s="230"/>
      <c r="G689" s="227"/>
      <c r="H689" s="226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5.75" customHeight="1">
      <c r="A690" s="218" t="s">
        <v>276</v>
      </c>
      <c r="B690" s="218" t="s">
        <v>582</v>
      </c>
      <c r="C690" s="218">
        <v>0</v>
      </c>
      <c r="D690" s="229">
        <v>1</v>
      </c>
      <c r="E690" s="101">
        <f t="shared" si="3"/>
        <v>0</v>
      </c>
      <c r="F690" s="230"/>
      <c r="G690" s="227"/>
      <c r="H690" s="226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5.75" customHeight="1">
      <c r="A691" s="218" t="s">
        <v>277</v>
      </c>
      <c r="B691" s="218" t="s">
        <v>583</v>
      </c>
      <c r="C691" s="218">
        <v>0</v>
      </c>
      <c r="D691" s="229">
        <v>1</v>
      </c>
      <c r="E691" s="101">
        <f t="shared" si="3"/>
        <v>0</v>
      </c>
      <c r="F691" s="230"/>
      <c r="G691" s="227"/>
      <c r="H691" s="226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5.75" customHeight="1">
      <c r="A692" s="218" t="s">
        <v>278</v>
      </c>
      <c r="B692" s="218" t="s">
        <v>584</v>
      </c>
      <c r="C692" s="218">
        <v>0</v>
      </c>
      <c r="D692" s="229">
        <v>1</v>
      </c>
      <c r="E692" s="101">
        <f t="shared" si="3"/>
        <v>0</v>
      </c>
      <c r="F692" s="230"/>
      <c r="G692" s="227"/>
      <c r="H692" s="226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5.75" customHeight="1">
      <c r="A693" s="218" t="s">
        <v>279</v>
      </c>
      <c r="B693" s="218" t="s">
        <v>585</v>
      </c>
      <c r="C693" s="218">
        <v>0</v>
      </c>
      <c r="D693" s="229">
        <v>1</v>
      </c>
      <c r="E693" s="101">
        <f t="shared" si="3"/>
        <v>0</v>
      </c>
      <c r="F693" s="230"/>
      <c r="G693" s="227"/>
      <c r="H693" s="226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5.75" customHeight="1">
      <c r="A694" s="218" t="s">
        <v>280</v>
      </c>
      <c r="B694" s="218" t="s">
        <v>586</v>
      </c>
      <c r="C694" s="218">
        <v>0</v>
      </c>
      <c r="D694" s="229">
        <v>1</v>
      </c>
      <c r="E694" s="101">
        <f t="shared" si="3"/>
        <v>0</v>
      </c>
      <c r="F694" s="230"/>
      <c r="G694" s="227"/>
      <c r="H694" s="226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5.75" customHeight="1">
      <c r="A695" s="218" t="s">
        <v>281</v>
      </c>
      <c r="B695" s="218" t="s">
        <v>587</v>
      </c>
      <c r="C695" s="218">
        <v>0</v>
      </c>
      <c r="D695" s="229">
        <v>1</v>
      </c>
      <c r="E695" s="101">
        <f t="shared" si="3"/>
        <v>0</v>
      </c>
      <c r="F695" s="230"/>
      <c r="G695" s="227"/>
      <c r="H695" s="226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5.75" customHeight="1">
      <c r="A696" s="218" t="s">
        <v>282</v>
      </c>
      <c r="B696" s="218" t="s">
        <v>588</v>
      </c>
      <c r="C696" s="218">
        <v>0</v>
      </c>
      <c r="D696" s="229">
        <v>1</v>
      </c>
      <c r="E696" s="101">
        <f t="shared" si="3"/>
        <v>0</v>
      </c>
      <c r="F696" s="230"/>
      <c r="G696" s="227"/>
      <c r="H696" s="226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5.75" customHeight="1">
      <c r="A697" s="218" t="s">
        <v>163</v>
      </c>
      <c r="B697" s="218" t="s">
        <v>486</v>
      </c>
      <c r="C697" s="218">
        <v>0</v>
      </c>
      <c r="D697" s="229">
        <v>1</v>
      </c>
      <c r="E697" s="101">
        <f t="shared" si="3"/>
        <v>0</v>
      </c>
      <c r="F697" s="230"/>
      <c r="G697" s="227"/>
      <c r="H697" s="226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5.75" customHeight="1">
      <c r="A698" s="218" t="s">
        <v>283</v>
      </c>
      <c r="B698" s="218" t="s">
        <v>589</v>
      </c>
      <c r="C698" s="218">
        <v>70.59</v>
      </c>
      <c r="D698" s="229">
        <v>1</v>
      </c>
      <c r="E698" s="101">
        <f t="shared" si="3"/>
        <v>70.59</v>
      </c>
      <c r="F698" s="230"/>
      <c r="G698" s="227"/>
      <c r="H698" s="226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5.75" customHeight="1">
      <c r="A699" s="218" t="s">
        <v>284</v>
      </c>
      <c r="B699" s="218" t="s">
        <v>590</v>
      </c>
      <c r="C699" s="218">
        <v>70.59</v>
      </c>
      <c r="D699" s="229">
        <v>1</v>
      </c>
      <c r="E699" s="101">
        <f t="shared" si="3"/>
        <v>70.59</v>
      </c>
      <c r="F699" s="230"/>
      <c r="G699" s="227"/>
      <c r="H699" s="226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5.75" customHeight="1">
      <c r="A700" s="218" t="s">
        <v>285</v>
      </c>
      <c r="B700" s="218" t="s">
        <v>591</v>
      </c>
      <c r="C700" s="218">
        <v>70.59</v>
      </c>
      <c r="D700" s="229">
        <v>1</v>
      </c>
      <c r="E700" s="101">
        <f t="shared" si="3"/>
        <v>70.59</v>
      </c>
      <c r="F700" s="230"/>
      <c r="G700" s="227"/>
      <c r="H700" s="226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5.75" customHeight="1">
      <c r="A701" s="218" t="s">
        <v>286</v>
      </c>
      <c r="B701" s="218" t="s">
        <v>592</v>
      </c>
      <c r="C701" s="218">
        <v>70.59</v>
      </c>
      <c r="D701" s="229">
        <v>1</v>
      </c>
      <c r="E701" s="101">
        <f t="shared" si="3"/>
        <v>70.59</v>
      </c>
      <c r="F701" s="230"/>
      <c r="G701" s="227"/>
      <c r="H701" s="226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5.75" customHeight="1">
      <c r="A702" s="218" t="s">
        <v>287</v>
      </c>
      <c r="B702" s="218" t="s">
        <v>593</v>
      </c>
      <c r="C702" s="218">
        <v>70.59</v>
      </c>
      <c r="D702" s="229">
        <v>1</v>
      </c>
      <c r="E702" s="101">
        <f t="shared" si="3"/>
        <v>70.59</v>
      </c>
      <c r="F702" s="230"/>
      <c r="G702" s="227"/>
      <c r="H702" s="226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5.75" customHeight="1">
      <c r="A703" s="218" t="s">
        <v>288</v>
      </c>
      <c r="B703" s="218" t="s">
        <v>594</v>
      </c>
      <c r="C703" s="218">
        <v>24.71</v>
      </c>
      <c r="D703" s="229">
        <v>1</v>
      </c>
      <c r="E703" s="101">
        <f t="shared" si="3"/>
        <v>24.71</v>
      </c>
      <c r="F703" s="230"/>
      <c r="G703" s="227"/>
      <c r="H703" s="226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5.75" customHeight="1">
      <c r="A704" s="218" t="s">
        <v>289</v>
      </c>
      <c r="B704" s="218" t="s">
        <v>595</v>
      </c>
      <c r="C704" s="218">
        <v>24.71</v>
      </c>
      <c r="D704" s="229">
        <v>1</v>
      </c>
      <c r="E704" s="101">
        <f t="shared" si="3"/>
        <v>24.71</v>
      </c>
      <c r="F704" s="230"/>
      <c r="G704" s="227"/>
      <c r="H704" s="226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5.75" customHeight="1">
      <c r="A705" s="218" t="s">
        <v>290</v>
      </c>
      <c r="B705" s="218" t="s">
        <v>596</v>
      </c>
      <c r="C705" s="218">
        <v>24.71</v>
      </c>
      <c r="D705" s="229">
        <v>1</v>
      </c>
      <c r="E705" s="101">
        <f t="shared" si="3"/>
        <v>24.71</v>
      </c>
      <c r="F705" s="230"/>
      <c r="G705" s="227"/>
      <c r="H705" s="226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5.75" customHeight="1">
      <c r="A706" s="218" t="s">
        <v>291</v>
      </c>
      <c r="B706" s="218" t="s">
        <v>597</v>
      </c>
      <c r="C706" s="218">
        <v>24.71</v>
      </c>
      <c r="D706" s="229">
        <v>1</v>
      </c>
      <c r="E706" s="101">
        <f t="shared" si="3"/>
        <v>24.71</v>
      </c>
      <c r="F706" s="230"/>
      <c r="G706" s="227"/>
      <c r="H706" s="226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5.75" customHeight="1">
      <c r="A707" s="218" t="s">
        <v>292</v>
      </c>
      <c r="B707" s="218" t="s">
        <v>598</v>
      </c>
      <c r="C707" s="218">
        <v>24.71</v>
      </c>
      <c r="D707" s="229">
        <v>1</v>
      </c>
      <c r="E707" s="101">
        <f t="shared" si="3"/>
        <v>24.71</v>
      </c>
      <c r="F707" s="230"/>
      <c r="G707" s="227"/>
      <c r="H707" s="226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5.75" customHeight="1">
      <c r="A708" s="218" t="s">
        <v>293</v>
      </c>
      <c r="B708" s="218" t="s">
        <v>599</v>
      </c>
      <c r="C708" s="218">
        <v>29.41</v>
      </c>
      <c r="D708" s="229">
        <v>1</v>
      </c>
      <c r="E708" s="101">
        <f t="shared" si="3"/>
        <v>29.41</v>
      </c>
      <c r="F708" s="230"/>
      <c r="G708" s="227"/>
      <c r="H708" s="226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5.75" customHeight="1">
      <c r="A709" s="218" t="s">
        <v>294</v>
      </c>
      <c r="B709" s="218" t="s">
        <v>600</v>
      </c>
      <c r="C709" s="218">
        <v>29.41</v>
      </c>
      <c r="D709" s="229">
        <v>1</v>
      </c>
      <c r="E709" s="101">
        <f t="shared" si="3"/>
        <v>29.41</v>
      </c>
      <c r="F709" s="230"/>
      <c r="G709" s="227"/>
      <c r="H709" s="226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5.75" customHeight="1">
      <c r="A710" s="218" t="s">
        <v>295</v>
      </c>
      <c r="B710" s="218" t="s">
        <v>601</v>
      </c>
      <c r="C710" s="218">
        <v>29.41</v>
      </c>
      <c r="D710" s="229">
        <v>1</v>
      </c>
      <c r="E710" s="101">
        <f t="shared" si="3"/>
        <v>29.41</v>
      </c>
      <c r="F710" s="230"/>
      <c r="G710" s="227"/>
      <c r="H710" s="226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5.75" customHeight="1">
      <c r="A711" s="218" t="s">
        <v>296</v>
      </c>
      <c r="B711" s="218" t="s">
        <v>602</v>
      </c>
      <c r="C711" s="218">
        <v>29.41</v>
      </c>
      <c r="D711" s="229">
        <v>1</v>
      </c>
      <c r="E711" s="101">
        <f t="shared" si="3"/>
        <v>29.41</v>
      </c>
      <c r="F711" s="230"/>
      <c r="G711" s="227"/>
      <c r="H711" s="226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5.75" customHeight="1">
      <c r="A712" s="218" t="s">
        <v>297</v>
      </c>
      <c r="B712" s="218" t="s">
        <v>603</v>
      </c>
      <c r="C712" s="218">
        <v>29.41</v>
      </c>
      <c r="D712" s="229">
        <v>1</v>
      </c>
      <c r="E712" s="101">
        <f t="shared" si="3"/>
        <v>29.41</v>
      </c>
      <c r="F712" s="230"/>
      <c r="G712" s="227"/>
      <c r="H712" s="226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5.75" customHeight="1">
      <c r="A713" s="218" t="s">
        <v>298</v>
      </c>
      <c r="B713" s="218" t="s">
        <v>604</v>
      </c>
      <c r="C713" s="218">
        <v>41.18</v>
      </c>
      <c r="D713" s="229">
        <v>1</v>
      </c>
      <c r="E713" s="101">
        <f t="shared" si="3"/>
        <v>41.18</v>
      </c>
      <c r="F713" s="230"/>
      <c r="G713" s="227"/>
      <c r="H713" s="226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5.75" customHeight="1">
      <c r="A714" s="218" t="s">
        <v>299</v>
      </c>
      <c r="B714" s="218" t="s">
        <v>605</v>
      </c>
      <c r="C714" s="218">
        <v>41.18</v>
      </c>
      <c r="D714" s="229">
        <v>1</v>
      </c>
      <c r="E714" s="101">
        <f t="shared" si="3"/>
        <v>41.18</v>
      </c>
      <c r="F714" s="230"/>
      <c r="G714" s="227"/>
      <c r="H714" s="226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5.75" customHeight="1">
      <c r="A715" s="218" t="s">
        <v>300</v>
      </c>
      <c r="B715" s="218" t="s">
        <v>606</v>
      </c>
      <c r="C715" s="218">
        <v>41.18</v>
      </c>
      <c r="D715" s="229">
        <v>1</v>
      </c>
      <c r="E715" s="101">
        <f t="shared" si="3"/>
        <v>41.18</v>
      </c>
      <c r="F715" s="230"/>
      <c r="G715" s="227"/>
      <c r="H715" s="226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5.75" customHeight="1">
      <c r="A716" s="218" t="s">
        <v>301</v>
      </c>
      <c r="B716" s="218" t="s">
        <v>607</v>
      </c>
      <c r="C716" s="218">
        <v>41.18</v>
      </c>
      <c r="D716" s="229">
        <v>1</v>
      </c>
      <c r="E716" s="101">
        <f t="shared" si="3"/>
        <v>41.18</v>
      </c>
      <c r="F716" s="230"/>
      <c r="G716" s="227"/>
      <c r="H716" s="226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5.75" customHeight="1">
      <c r="A717" s="218" t="s">
        <v>302</v>
      </c>
      <c r="B717" s="218" t="s">
        <v>608</v>
      </c>
      <c r="C717" s="218">
        <v>41.18</v>
      </c>
      <c r="D717" s="229">
        <v>1</v>
      </c>
      <c r="E717" s="101">
        <f t="shared" si="3"/>
        <v>41.18</v>
      </c>
      <c r="F717" s="230"/>
      <c r="G717" s="227"/>
      <c r="H717" s="226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5.75" customHeight="1">
      <c r="A718" s="218" t="s">
        <v>303</v>
      </c>
      <c r="B718" s="218" t="s">
        <v>609</v>
      </c>
      <c r="C718" s="218">
        <v>7.06</v>
      </c>
      <c r="D718" s="229">
        <v>1</v>
      </c>
      <c r="E718" s="101">
        <f t="shared" ref="E718:E781" si="4">C718*D718</f>
        <v>7.06</v>
      </c>
      <c r="F718" s="230"/>
      <c r="G718" s="227"/>
      <c r="H718" s="226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5.75" customHeight="1">
      <c r="A719" s="218" t="s">
        <v>163</v>
      </c>
      <c r="B719" s="218" t="s">
        <v>486</v>
      </c>
      <c r="C719" s="218">
        <v>0</v>
      </c>
      <c r="D719" s="229">
        <v>1</v>
      </c>
      <c r="E719" s="101">
        <f t="shared" si="4"/>
        <v>0</v>
      </c>
      <c r="F719" s="230"/>
      <c r="G719" s="227"/>
      <c r="H719" s="226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5.75" customHeight="1">
      <c r="A720" s="218" t="s">
        <v>304</v>
      </c>
      <c r="B720" s="218" t="s">
        <v>610</v>
      </c>
      <c r="C720" s="218">
        <v>55.88</v>
      </c>
      <c r="D720" s="229">
        <v>1</v>
      </c>
      <c r="E720" s="101">
        <f t="shared" si="4"/>
        <v>55.88</v>
      </c>
      <c r="F720" s="230"/>
      <c r="G720" s="227"/>
      <c r="H720" s="226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5.75" customHeight="1">
      <c r="A721" s="218" t="s">
        <v>305</v>
      </c>
      <c r="B721" s="218" t="s">
        <v>611</v>
      </c>
      <c r="C721" s="218">
        <v>55.88</v>
      </c>
      <c r="D721" s="229">
        <v>1</v>
      </c>
      <c r="E721" s="101">
        <f t="shared" si="4"/>
        <v>55.88</v>
      </c>
      <c r="F721" s="230"/>
      <c r="G721" s="227"/>
      <c r="H721" s="226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5.75" customHeight="1">
      <c r="A722" s="218" t="s">
        <v>306</v>
      </c>
      <c r="B722" s="218" t="s">
        <v>612</v>
      </c>
      <c r="C722" s="218">
        <v>55.88</v>
      </c>
      <c r="D722" s="229">
        <v>1</v>
      </c>
      <c r="E722" s="101">
        <f t="shared" si="4"/>
        <v>55.88</v>
      </c>
      <c r="F722" s="230"/>
      <c r="G722" s="227"/>
      <c r="H722" s="226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5.75" customHeight="1">
      <c r="A723" s="218" t="s">
        <v>163</v>
      </c>
      <c r="B723" s="218" t="s">
        <v>486</v>
      </c>
      <c r="C723" s="218">
        <v>0</v>
      </c>
      <c r="D723" s="229">
        <v>1</v>
      </c>
      <c r="E723" s="101">
        <f t="shared" si="4"/>
        <v>0</v>
      </c>
      <c r="F723" s="230"/>
      <c r="G723" s="227"/>
      <c r="H723" s="226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5.75" customHeight="1">
      <c r="A724" s="218" t="s">
        <v>307</v>
      </c>
      <c r="B724" s="218" t="s">
        <v>613</v>
      </c>
      <c r="C724" s="218">
        <v>52.94</v>
      </c>
      <c r="D724" s="229">
        <v>1</v>
      </c>
      <c r="E724" s="101">
        <f t="shared" si="4"/>
        <v>52.94</v>
      </c>
      <c r="F724" s="230"/>
      <c r="G724" s="227"/>
      <c r="H724" s="226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5.75" customHeight="1">
      <c r="A725" s="218" t="s">
        <v>308</v>
      </c>
      <c r="B725" s="218" t="s">
        <v>614</v>
      </c>
      <c r="C725" s="218">
        <v>52.94</v>
      </c>
      <c r="D725" s="229">
        <v>1</v>
      </c>
      <c r="E725" s="101">
        <f t="shared" si="4"/>
        <v>52.94</v>
      </c>
      <c r="F725" s="230"/>
      <c r="G725" s="227"/>
      <c r="H725" s="226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5.75" customHeight="1">
      <c r="A726" s="218" t="s">
        <v>309</v>
      </c>
      <c r="B726" s="218" t="s">
        <v>615</v>
      </c>
      <c r="C726" s="218">
        <v>52.94</v>
      </c>
      <c r="D726" s="229">
        <v>1</v>
      </c>
      <c r="E726" s="101">
        <f t="shared" si="4"/>
        <v>52.94</v>
      </c>
      <c r="F726" s="230"/>
      <c r="G726" s="227"/>
      <c r="H726" s="226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5.75" customHeight="1">
      <c r="A727" s="218" t="s">
        <v>163</v>
      </c>
      <c r="B727" s="218" t="s">
        <v>486</v>
      </c>
      <c r="C727" s="218">
        <v>0</v>
      </c>
      <c r="D727" s="229">
        <v>1</v>
      </c>
      <c r="E727" s="101">
        <f t="shared" si="4"/>
        <v>0</v>
      </c>
      <c r="F727" s="230"/>
      <c r="G727" s="227"/>
      <c r="H727" s="226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5.75" customHeight="1">
      <c r="A728" s="218" t="s">
        <v>310</v>
      </c>
      <c r="B728" s="218" t="s">
        <v>616</v>
      </c>
      <c r="C728" s="218">
        <v>0</v>
      </c>
      <c r="D728" s="229">
        <v>1</v>
      </c>
      <c r="E728" s="101">
        <f t="shared" si="4"/>
        <v>0</v>
      </c>
      <c r="F728" s="230"/>
      <c r="G728" s="227"/>
      <c r="H728" s="226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5.75" customHeight="1">
      <c r="A729" s="218" t="s">
        <v>311</v>
      </c>
      <c r="B729" s="218" t="s">
        <v>617</v>
      </c>
      <c r="C729" s="218">
        <v>0</v>
      </c>
      <c r="D729" s="229">
        <v>1</v>
      </c>
      <c r="E729" s="101">
        <f t="shared" si="4"/>
        <v>0</v>
      </c>
      <c r="F729" s="230"/>
      <c r="G729" s="227"/>
      <c r="H729" s="226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5.75" customHeight="1">
      <c r="A730" s="218" t="s">
        <v>312</v>
      </c>
      <c r="B730" s="218" t="s">
        <v>618</v>
      </c>
      <c r="C730" s="218">
        <v>0</v>
      </c>
      <c r="D730" s="229">
        <v>1</v>
      </c>
      <c r="E730" s="101">
        <f t="shared" si="4"/>
        <v>0</v>
      </c>
      <c r="F730" s="230"/>
      <c r="G730" s="227"/>
      <c r="H730" s="226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5.75" customHeight="1">
      <c r="A731" s="218" t="s">
        <v>163</v>
      </c>
      <c r="B731" s="218" t="s">
        <v>486</v>
      </c>
      <c r="C731" s="218">
        <v>0</v>
      </c>
      <c r="D731" s="229">
        <v>1</v>
      </c>
      <c r="E731" s="101">
        <f t="shared" si="4"/>
        <v>0</v>
      </c>
      <c r="F731" s="230"/>
      <c r="G731" s="227"/>
      <c r="H731" s="226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5.75" customHeight="1">
      <c r="A732" s="218" t="s">
        <v>313</v>
      </c>
      <c r="B732" s="218" t="s">
        <v>619</v>
      </c>
      <c r="C732" s="218">
        <v>0</v>
      </c>
      <c r="D732" s="229">
        <v>1</v>
      </c>
      <c r="E732" s="101">
        <f t="shared" si="4"/>
        <v>0</v>
      </c>
      <c r="F732" s="230"/>
      <c r="G732" s="227"/>
      <c r="H732" s="226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5.75" customHeight="1">
      <c r="A733" s="218" t="s">
        <v>314</v>
      </c>
      <c r="B733" s="218" t="s">
        <v>620</v>
      </c>
      <c r="C733" s="218">
        <v>0</v>
      </c>
      <c r="D733" s="229">
        <v>1</v>
      </c>
      <c r="E733" s="101">
        <f t="shared" si="4"/>
        <v>0</v>
      </c>
      <c r="F733" s="230"/>
      <c r="G733" s="227"/>
      <c r="H733" s="226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5.75" customHeight="1">
      <c r="A734" s="218" t="s">
        <v>315</v>
      </c>
      <c r="B734" s="218" t="s">
        <v>621</v>
      </c>
      <c r="C734" s="218">
        <v>0</v>
      </c>
      <c r="D734" s="229">
        <v>1</v>
      </c>
      <c r="E734" s="101">
        <f t="shared" si="4"/>
        <v>0</v>
      </c>
      <c r="F734" s="230"/>
      <c r="G734" s="227"/>
      <c r="H734" s="226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5.75" customHeight="1">
      <c r="A735" s="218" t="s">
        <v>316</v>
      </c>
      <c r="B735" s="218" t="s">
        <v>622</v>
      </c>
      <c r="C735" s="218">
        <v>0</v>
      </c>
      <c r="D735" s="229">
        <v>1</v>
      </c>
      <c r="E735" s="101">
        <f t="shared" si="4"/>
        <v>0</v>
      </c>
      <c r="F735" s="230"/>
      <c r="G735" s="227"/>
      <c r="H735" s="226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5.75" customHeight="1">
      <c r="A736" s="218" t="s">
        <v>317</v>
      </c>
      <c r="B736" s="218" t="s">
        <v>623</v>
      </c>
      <c r="C736" s="218">
        <v>0</v>
      </c>
      <c r="D736" s="229">
        <v>1</v>
      </c>
      <c r="E736" s="101">
        <f t="shared" si="4"/>
        <v>0</v>
      </c>
      <c r="F736" s="230"/>
      <c r="G736" s="227"/>
      <c r="H736" s="226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5.75" customHeight="1">
      <c r="A737" s="218" t="s">
        <v>318</v>
      </c>
      <c r="B737" s="218" t="s">
        <v>624</v>
      </c>
      <c r="C737" s="218">
        <v>0</v>
      </c>
      <c r="D737" s="229">
        <v>1</v>
      </c>
      <c r="E737" s="101">
        <f t="shared" si="4"/>
        <v>0</v>
      </c>
      <c r="F737" s="230"/>
      <c r="G737" s="227"/>
      <c r="H737" s="226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5.75" customHeight="1">
      <c r="A738" s="218" t="s">
        <v>319</v>
      </c>
      <c r="B738" s="218" t="s">
        <v>625</v>
      </c>
      <c r="C738" s="218">
        <v>0</v>
      </c>
      <c r="D738" s="229">
        <v>1</v>
      </c>
      <c r="E738" s="101">
        <f t="shared" si="4"/>
        <v>0</v>
      </c>
      <c r="F738" s="230"/>
      <c r="G738" s="227"/>
      <c r="H738" s="226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5.75" customHeight="1">
      <c r="A739" s="218" t="s">
        <v>320</v>
      </c>
      <c r="B739" s="218" t="s">
        <v>626</v>
      </c>
      <c r="C739" s="218">
        <v>0</v>
      </c>
      <c r="D739" s="229">
        <v>1</v>
      </c>
      <c r="E739" s="101">
        <f t="shared" si="4"/>
        <v>0</v>
      </c>
      <c r="F739" s="230"/>
      <c r="G739" s="227"/>
      <c r="H739" s="226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5.75" customHeight="1">
      <c r="A740" s="218" t="s">
        <v>321</v>
      </c>
      <c r="B740" s="218" t="s">
        <v>627</v>
      </c>
      <c r="C740" s="218">
        <v>0</v>
      </c>
      <c r="D740" s="229">
        <v>1</v>
      </c>
      <c r="E740" s="101">
        <f t="shared" si="4"/>
        <v>0</v>
      </c>
      <c r="F740" s="230"/>
      <c r="G740" s="227"/>
      <c r="H740" s="226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5.75" customHeight="1">
      <c r="A741" s="218" t="s">
        <v>322</v>
      </c>
      <c r="B741" s="218" t="s">
        <v>628</v>
      </c>
      <c r="C741" s="218">
        <v>0</v>
      </c>
      <c r="D741" s="229">
        <v>1</v>
      </c>
      <c r="E741" s="101">
        <f t="shared" si="4"/>
        <v>0</v>
      </c>
      <c r="F741" s="230"/>
      <c r="G741" s="227"/>
      <c r="H741" s="226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5.75" customHeight="1">
      <c r="A742" s="218" t="s">
        <v>323</v>
      </c>
      <c r="B742" s="218" t="s">
        <v>629</v>
      </c>
      <c r="C742" s="218">
        <v>0</v>
      </c>
      <c r="D742" s="229">
        <v>1</v>
      </c>
      <c r="E742" s="101">
        <f t="shared" si="4"/>
        <v>0</v>
      </c>
      <c r="F742" s="230"/>
      <c r="G742" s="227"/>
      <c r="H742" s="226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5.75" customHeight="1">
      <c r="A743" s="218" t="s">
        <v>324</v>
      </c>
      <c r="B743" s="218" t="s">
        <v>630</v>
      </c>
      <c r="C743" s="218">
        <v>0</v>
      </c>
      <c r="D743" s="229">
        <v>1</v>
      </c>
      <c r="E743" s="101">
        <f t="shared" si="4"/>
        <v>0</v>
      </c>
      <c r="F743" s="230"/>
      <c r="G743" s="227"/>
      <c r="H743" s="226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5.75" customHeight="1">
      <c r="A744" s="218" t="s">
        <v>325</v>
      </c>
      <c r="B744" s="218" t="s">
        <v>631</v>
      </c>
      <c r="C744" s="218">
        <v>0</v>
      </c>
      <c r="D744" s="229">
        <v>1</v>
      </c>
      <c r="E744" s="101">
        <f t="shared" si="4"/>
        <v>0</v>
      </c>
      <c r="F744" s="230"/>
      <c r="G744" s="227"/>
      <c r="H744" s="226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5.75" customHeight="1">
      <c r="A745" s="218" t="s">
        <v>326</v>
      </c>
      <c r="B745" s="218" t="s">
        <v>632</v>
      </c>
      <c r="C745" s="218">
        <v>0</v>
      </c>
      <c r="D745" s="229">
        <v>1</v>
      </c>
      <c r="E745" s="101">
        <f t="shared" si="4"/>
        <v>0</v>
      </c>
      <c r="F745" s="230"/>
      <c r="G745" s="227"/>
      <c r="H745" s="226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5.75" customHeight="1">
      <c r="A746" s="218" t="s">
        <v>327</v>
      </c>
      <c r="B746" s="218" t="s">
        <v>633</v>
      </c>
      <c r="C746" s="218">
        <v>0</v>
      </c>
      <c r="D746" s="229">
        <v>1</v>
      </c>
      <c r="E746" s="101">
        <f t="shared" si="4"/>
        <v>0</v>
      </c>
      <c r="F746" s="230"/>
      <c r="G746" s="227"/>
      <c r="H746" s="226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5.75" customHeight="1">
      <c r="A747" s="218" t="s">
        <v>328</v>
      </c>
      <c r="B747" s="218" t="s">
        <v>634</v>
      </c>
      <c r="C747" s="218">
        <v>0</v>
      </c>
      <c r="D747" s="229">
        <v>1</v>
      </c>
      <c r="E747" s="101">
        <f t="shared" si="4"/>
        <v>0</v>
      </c>
      <c r="F747" s="230"/>
      <c r="G747" s="227"/>
      <c r="H747" s="226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5.75" customHeight="1">
      <c r="A748" s="218" t="s">
        <v>329</v>
      </c>
      <c r="B748" s="218" t="s">
        <v>635</v>
      </c>
      <c r="C748" s="218">
        <v>0</v>
      </c>
      <c r="D748" s="229">
        <v>1</v>
      </c>
      <c r="E748" s="101">
        <f t="shared" si="4"/>
        <v>0</v>
      </c>
      <c r="F748" s="230"/>
      <c r="G748" s="227"/>
      <c r="H748" s="226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5.75" customHeight="1">
      <c r="A749" s="218" t="s">
        <v>330</v>
      </c>
      <c r="B749" s="218" t="s">
        <v>636</v>
      </c>
      <c r="C749" s="218">
        <v>0</v>
      </c>
      <c r="D749" s="229">
        <v>1</v>
      </c>
      <c r="E749" s="101">
        <f t="shared" si="4"/>
        <v>0</v>
      </c>
      <c r="F749" s="230"/>
      <c r="G749" s="227"/>
      <c r="H749" s="226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5.75" customHeight="1">
      <c r="A750" s="218" t="s">
        <v>331</v>
      </c>
      <c r="B750" s="218" t="s">
        <v>637</v>
      </c>
      <c r="C750" s="218">
        <v>0</v>
      </c>
      <c r="D750" s="229">
        <v>1</v>
      </c>
      <c r="E750" s="101">
        <f t="shared" si="4"/>
        <v>0</v>
      </c>
      <c r="F750" s="230"/>
      <c r="G750" s="227"/>
      <c r="H750" s="226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5.75" customHeight="1">
      <c r="A751" s="218" t="s">
        <v>332</v>
      </c>
      <c r="B751" s="218" t="s">
        <v>638</v>
      </c>
      <c r="C751" s="218">
        <v>0</v>
      </c>
      <c r="D751" s="229">
        <v>1</v>
      </c>
      <c r="E751" s="101">
        <f t="shared" si="4"/>
        <v>0</v>
      </c>
      <c r="F751" s="230"/>
      <c r="G751" s="227"/>
      <c r="H751" s="226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5.75" customHeight="1">
      <c r="A752" s="218" t="s">
        <v>163</v>
      </c>
      <c r="B752" s="218" t="s">
        <v>486</v>
      </c>
      <c r="C752" s="218">
        <v>0</v>
      </c>
      <c r="D752" s="229">
        <v>1</v>
      </c>
      <c r="E752" s="101">
        <f t="shared" si="4"/>
        <v>0</v>
      </c>
      <c r="F752" s="230"/>
      <c r="G752" s="227"/>
      <c r="H752" s="226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5.75" customHeight="1">
      <c r="A753" s="218" t="s">
        <v>333</v>
      </c>
      <c r="B753" s="218" t="s">
        <v>639</v>
      </c>
      <c r="C753" s="218">
        <v>0</v>
      </c>
      <c r="D753" s="229">
        <v>1</v>
      </c>
      <c r="E753" s="101">
        <f t="shared" si="4"/>
        <v>0</v>
      </c>
      <c r="F753" s="230"/>
      <c r="G753" s="227"/>
      <c r="H753" s="226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5.75" customHeight="1">
      <c r="A754" s="218" t="s">
        <v>334</v>
      </c>
      <c r="B754" s="218" t="s">
        <v>640</v>
      </c>
      <c r="C754" s="218">
        <v>0</v>
      </c>
      <c r="D754" s="229">
        <v>1</v>
      </c>
      <c r="E754" s="101">
        <f t="shared" si="4"/>
        <v>0</v>
      </c>
      <c r="F754" s="230"/>
      <c r="G754" s="227"/>
      <c r="H754" s="226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5.75" customHeight="1">
      <c r="A755" s="218" t="s">
        <v>335</v>
      </c>
      <c r="B755" s="218" t="s">
        <v>641</v>
      </c>
      <c r="C755" s="218">
        <v>0</v>
      </c>
      <c r="D755" s="229">
        <v>1</v>
      </c>
      <c r="E755" s="101">
        <f t="shared" si="4"/>
        <v>0</v>
      </c>
      <c r="F755" s="230"/>
      <c r="G755" s="227"/>
      <c r="H755" s="226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5.75" customHeight="1">
      <c r="A756" s="218" t="s">
        <v>336</v>
      </c>
      <c r="B756" s="218" t="s">
        <v>642</v>
      </c>
      <c r="C756" s="218">
        <v>0</v>
      </c>
      <c r="D756" s="229">
        <v>1</v>
      </c>
      <c r="E756" s="101">
        <f t="shared" si="4"/>
        <v>0</v>
      </c>
      <c r="F756" s="230"/>
      <c r="G756" s="227"/>
      <c r="H756" s="226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5.75" customHeight="1">
      <c r="A757" s="218" t="s">
        <v>337</v>
      </c>
      <c r="B757" s="218" t="s">
        <v>643</v>
      </c>
      <c r="C757" s="218">
        <v>0</v>
      </c>
      <c r="D757" s="229">
        <v>1</v>
      </c>
      <c r="E757" s="101">
        <f t="shared" si="4"/>
        <v>0</v>
      </c>
      <c r="F757" s="230"/>
      <c r="G757" s="227"/>
      <c r="H757" s="226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5.75" customHeight="1">
      <c r="A758" s="218" t="s">
        <v>338</v>
      </c>
      <c r="B758" s="218" t="s">
        <v>644</v>
      </c>
      <c r="C758" s="218">
        <v>0</v>
      </c>
      <c r="D758" s="229">
        <v>1</v>
      </c>
      <c r="E758" s="101">
        <f t="shared" si="4"/>
        <v>0</v>
      </c>
      <c r="F758" s="230"/>
      <c r="G758" s="227"/>
      <c r="H758" s="226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5.75" customHeight="1">
      <c r="A759" s="218" t="s">
        <v>339</v>
      </c>
      <c r="B759" s="218" t="s">
        <v>645</v>
      </c>
      <c r="C759" s="218">
        <v>0</v>
      </c>
      <c r="D759" s="229">
        <v>1</v>
      </c>
      <c r="E759" s="101">
        <f t="shared" si="4"/>
        <v>0</v>
      </c>
      <c r="F759" s="230"/>
      <c r="G759" s="227"/>
      <c r="H759" s="226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5.75" customHeight="1">
      <c r="A760" s="218" t="s">
        <v>340</v>
      </c>
      <c r="B760" s="218" t="s">
        <v>646</v>
      </c>
      <c r="C760" s="218">
        <v>0</v>
      </c>
      <c r="D760" s="229">
        <v>1</v>
      </c>
      <c r="E760" s="101">
        <f t="shared" si="4"/>
        <v>0</v>
      </c>
      <c r="F760" s="230"/>
      <c r="G760" s="227"/>
      <c r="H760" s="226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5.75" customHeight="1">
      <c r="A761" s="218" t="s">
        <v>341</v>
      </c>
      <c r="B761" s="218" t="s">
        <v>647</v>
      </c>
      <c r="C761" s="218">
        <v>0</v>
      </c>
      <c r="D761" s="229">
        <v>1</v>
      </c>
      <c r="E761" s="101">
        <f t="shared" si="4"/>
        <v>0</v>
      </c>
      <c r="F761" s="230"/>
      <c r="G761" s="227"/>
      <c r="H761" s="226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5.75" customHeight="1">
      <c r="A762" s="218" t="s">
        <v>342</v>
      </c>
      <c r="B762" s="218" t="s">
        <v>648</v>
      </c>
      <c r="C762" s="218">
        <v>0</v>
      </c>
      <c r="D762" s="229">
        <v>1</v>
      </c>
      <c r="E762" s="101">
        <f t="shared" si="4"/>
        <v>0</v>
      </c>
      <c r="F762" s="230"/>
      <c r="G762" s="227"/>
      <c r="H762" s="226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5.75" customHeight="1">
      <c r="A763" s="218" t="s">
        <v>163</v>
      </c>
      <c r="B763" s="218" t="s">
        <v>486</v>
      </c>
      <c r="C763" s="218">
        <v>0</v>
      </c>
      <c r="D763" s="229">
        <v>1</v>
      </c>
      <c r="E763" s="101">
        <f t="shared" si="4"/>
        <v>0</v>
      </c>
      <c r="F763" s="230"/>
      <c r="G763" s="227"/>
      <c r="H763" s="226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5.75" customHeight="1">
      <c r="A764" s="218" t="s">
        <v>343</v>
      </c>
      <c r="B764" s="218" t="s">
        <v>649</v>
      </c>
      <c r="C764" s="218">
        <v>35.29</v>
      </c>
      <c r="D764" s="229">
        <v>1</v>
      </c>
      <c r="E764" s="101">
        <f t="shared" si="4"/>
        <v>35.29</v>
      </c>
      <c r="F764" s="230"/>
      <c r="G764" s="227"/>
      <c r="H764" s="226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5.75" customHeight="1">
      <c r="A765" s="218" t="s">
        <v>344</v>
      </c>
      <c r="B765" s="218" t="s">
        <v>650</v>
      </c>
      <c r="C765" s="218">
        <v>35.29</v>
      </c>
      <c r="D765" s="229">
        <v>1</v>
      </c>
      <c r="E765" s="101">
        <f t="shared" si="4"/>
        <v>35.29</v>
      </c>
      <c r="F765" s="230"/>
      <c r="G765" s="227"/>
      <c r="H765" s="226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5.75" customHeight="1">
      <c r="A766" s="218" t="s">
        <v>345</v>
      </c>
      <c r="B766" s="218" t="s">
        <v>651</v>
      </c>
      <c r="C766" s="218">
        <v>35.29</v>
      </c>
      <c r="D766" s="229">
        <v>1</v>
      </c>
      <c r="E766" s="101">
        <f t="shared" si="4"/>
        <v>35.29</v>
      </c>
      <c r="F766" s="230"/>
      <c r="G766" s="227"/>
      <c r="H766" s="226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5.75" customHeight="1">
      <c r="A767" s="218" t="s">
        <v>346</v>
      </c>
      <c r="B767" s="218" t="s">
        <v>652</v>
      </c>
      <c r="C767" s="218">
        <v>35.29</v>
      </c>
      <c r="D767" s="229">
        <v>1</v>
      </c>
      <c r="E767" s="101">
        <f t="shared" si="4"/>
        <v>35.29</v>
      </c>
      <c r="F767" s="230"/>
      <c r="G767" s="227"/>
      <c r="H767" s="226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5.75" customHeight="1">
      <c r="A768" s="218" t="s">
        <v>347</v>
      </c>
      <c r="B768" s="218" t="s">
        <v>653</v>
      </c>
      <c r="C768" s="218">
        <v>35.29</v>
      </c>
      <c r="D768" s="229">
        <v>1</v>
      </c>
      <c r="E768" s="101">
        <f t="shared" si="4"/>
        <v>35.29</v>
      </c>
      <c r="F768" s="230"/>
      <c r="G768" s="227"/>
      <c r="H768" s="226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5.75" customHeight="1">
      <c r="A769" s="218" t="s">
        <v>348</v>
      </c>
      <c r="B769" s="218" t="s">
        <v>654</v>
      </c>
      <c r="C769" s="218">
        <v>0</v>
      </c>
      <c r="D769" s="229">
        <v>1</v>
      </c>
      <c r="E769" s="101">
        <f t="shared" si="4"/>
        <v>0</v>
      </c>
      <c r="F769" s="230"/>
      <c r="G769" s="227"/>
      <c r="H769" s="226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5.75" customHeight="1">
      <c r="A770" s="218" t="s">
        <v>349</v>
      </c>
      <c r="B770" s="218" t="s">
        <v>655</v>
      </c>
      <c r="C770" s="218">
        <v>0</v>
      </c>
      <c r="D770" s="229">
        <v>1</v>
      </c>
      <c r="E770" s="101">
        <f t="shared" si="4"/>
        <v>0</v>
      </c>
      <c r="F770" s="230"/>
      <c r="G770" s="227"/>
      <c r="H770" s="226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5.75" customHeight="1">
      <c r="A771" s="218" t="s">
        <v>350</v>
      </c>
      <c r="B771" s="218" t="s">
        <v>656</v>
      </c>
      <c r="C771" s="218">
        <v>0</v>
      </c>
      <c r="D771" s="229">
        <v>1</v>
      </c>
      <c r="E771" s="101">
        <f t="shared" si="4"/>
        <v>0</v>
      </c>
      <c r="F771" s="230"/>
      <c r="G771" s="227"/>
      <c r="H771" s="226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5.75" customHeight="1">
      <c r="A772" s="218" t="s">
        <v>351</v>
      </c>
      <c r="B772" s="218" t="s">
        <v>657</v>
      </c>
      <c r="C772" s="218">
        <v>0</v>
      </c>
      <c r="D772" s="229">
        <v>1</v>
      </c>
      <c r="E772" s="101">
        <f t="shared" si="4"/>
        <v>0</v>
      </c>
      <c r="F772" s="230"/>
      <c r="G772" s="227"/>
      <c r="H772" s="226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5.75" customHeight="1">
      <c r="A773" s="218" t="s">
        <v>352</v>
      </c>
      <c r="B773" s="218" t="s">
        <v>658</v>
      </c>
      <c r="C773" s="218">
        <v>0</v>
      </c>
      <c r="D773" s="229">
        <v>1</v>
      </c>
      <c r="E773" s="101">
        <f t="shared" si="4"/>
        <v>0</v>
      </c>
      <c r="F773" s="230"/>
      <c r="G773" s="227"/>
      <c r="H773" s="226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5.75" customHeight="1">
      <c r="A774" s="218" t="s">
        <v>163</v>
      </c>
      <c r="B774" s="218" t="s">
        <v>486</v>
      </c>
      <c r="C774" s="218">
        <v>0</v>
      </c>
      <c r="D774" s="229">
        <v>1</v>
      </c>
      <c r="E774" s="101">
        <f t="shared" si="4"/>
        <v>0</v>
      </c>
      <c r="F774" s="230"/>
      <c r="G774" s="227"/>
      <c r="H774" s="226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5.75" customHeight="1">
      <c r="A775" s="218" t="s">
        <v>353</v>
      </c>
      <c r="B775" s="218" t="s">
        <v>659</v>
      </c>
      <c r="C775" s="218">
        <v>17.510000000000002</v>
      </c>
      <c r="D775" s="229">
        <v>1</v>
      </c>
      <c r="E775" s="101">
        <f t="shared" si="4"/>
        <v>17.510000000000002</v>
      </c>
      <c r="F775" s="230"/>
      <c r="G775" s="227"/>
      <c r="H775" s="226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5.75" customHeight="1">
      <c r="A776" s="218" t="s">
        <v>354</v>
      </c>
      <c r="B776" s="218" t="s">
        <v>660</v>
      </c>
      <c r="C776" s="218">
        <v>17.510000000000002</v>
      </c>
      <c r="D776" s="229">
        <v>1</v>
      </c>
      <c r="E776" s="101">
        <f t="shared" si="4"/>
        <v>17.510000000000002</v>
      </c>
      <c r="F776" s="230"/>
      <c r="G776" s="227"/>
      <c r="H776" s="226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5.75" customHeight="1">
      <c r="A777" s="218" t="s">
        <v>355</v>
      </c>
      <c r="B777" s="218" t="s">
        <v>661</v>
      </c>
      <c r="C777" s="218">
        <v>17.510000000000002</v>
      </c>
      <c r="D777" s="229">
        <v>1</v>
      </c>
      <c r="E777" s="101">
        <f t="shared" si="4"/>
        <v>17.510000000000002</v>
      </c>
      <c r="F777" s="230"/>
      <c r="G777" s="227"/>
      <c r="H777" s="226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5.75" customHeight="1">
      <c r="A778" s="218" t="s">
        <v>356</v>
      </c>
      <c r="B778" s="218" t="s">
        <v>662</v>
      </c>
      <c r="C778" s="218">
        <v>17.510000000000002</v>
      </c>
      <c r="D778" s="229">
        <v>1</v>
      </c>
      <c r="E778" s="101">
        <f t="shared" si="4"/>
        <v>17.510000000000002</v>
      </c>
      <c r="F778" s="230"/>
      <c r="G778" s="227"/>
      <c r="H778" s="226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5.75" customHeight="1">
      <c r="A779" s="218" t="s">
        <v>357</v>
      </c>
      <c r="B779" s="218" t="s">
        <v>663</v>
      </c>
      <c r="C779" s="218">
        <v>17.510000000000002</v>
      </c>
      <c r="D779" s="229">
        <v>1</v>
      </c>
      <c r="E779" s="101">
        <f t="shared" si="4"/>
        <v>17.510000000000002</v>
      </c>
      <c r="F779" s="230"/>
      <c r="G779" s="227"/>
      <c r="H779" s="226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5.75" customHeight="1">
      <c r="A780" s="218" t="s">
        <v>358</v>
      </c>
      <c r="B780" s="218" t="s">
        <v>664</v>
      </c>
      <c r="C780" s="218">
        <v>0</v>
      </c>
      <c r="D780" s="229">
        <v>1</v>
      </c>
      <c r="E780" s="101">
        <f t="shared" si="4"/>
        <v>0</v>
      </c>
      <c r="F780" s="230"/>
      <c r="G780" s="227"/>
      <c r="H780" s="226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5.75" customHeight="1">
      <c r="A781" s="218" t="s">
        <v>359</v>
      </c>
      <c r="B781" s="218" t="s">
        <v>665</v>
      </c>
      <c r="C781" s="218">
        <v>0</v>
      </c>
      <c r="D781" s="229">
        <v>1</v>
      </c>
      <c r="E781" s="101">
        <f t="shared" si="4"/>
        <v>0</v>
      </c>
      <c r="F781" s="230"/>
      <c r="G781" s="227"/>
      <c r="H781" s="226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5.75" customHeight="1">
      <c r="A782" s="218" t="s">
        <v>360</v>
      </c>
      <c r="B782" s="218" t="s">
        <v>666</v>
      </c>
      <c r="C782" s="218">
        <v>0</v>
      </c>
      <c r="D782" s="229">
        <v>1</v>
      </c>
      <c r="E782" s="101">
        <f t="shared" ref="E782:E845" si="5">C782*D782</f>
        <v>0</v>
      </c>
      <c r="F782" s="230"/>
      <c r="G782" s="227"/>
      <c r="H782" s="226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5.75" customHeight="1">
      <c r="A783" s="218" t="s">
        <v>361</v>
      </c>
      <c r="B783" s="218" t="s">
        <v>667</v>
      </c>
      <c r="C783" s="218">
        <v>0</v>
      </c>
      <c r="D783" s="229">
        <v>1</v>
      </c>
      <c r="E783" s="101">
        <f t="shared" si="5"/>
        <v>0</v>
      </c>
      <c r="F783" s="230"/>
      <c r="G783" s="227"/>
      <c r="H783" s="226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5.75" customHeight="1">
      <c r="A784" s="218" t="s">
        <v>362</v>
      </c>
      <c r="B784" s="218" t="s">
        <v>668</v>
      </c>
      <c r="C784" s="218">
        <v>0</v>
      </c>
      <c r="D784" s="229">
        <v>1</v>
      </c>
      <c r="E784" s="101">
        <f t="shared" si="5"/>
        <v>0</v>
      </c>
      <c r="F784" s="230"/>
      <c r="G784" s="227"/>
      <c r="H784" s="226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5.75" customHeight="1">
      <c r="A785" s="218" t="s">
        <v>163</v>
      </c>
      <c r="B785" s="218" t="s">
        <v>486</v>
      </c>
      <c r="C785" s="218">
        <v>0</v>
      </c>
      <c r="D785" s="229">
        <v>1</v>
      </c>
      <c r="E785" s="101">
        <f t="shared" si="5"/>
        <v>0</v>
      </c>
      <c r="F785" s="230"/>
      <c r="G785" s="227"/>
      <c r="H785" s="226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5.75" customHeight="1">
      <c r="A786" s="218" t="s">
        <v>363</v>
      </c>
      <c r="B786" s="218" t="s">
        <v>669</v>
      </c>
      <c r="C786" s="218">
        <v>0</v>
      </c>
      <c r="D786" s="229">
        <v>1</v>
      </c>
      <c r="E786" s="101">
        <f t="shared" si="5"/>
        <v>0</v>
      </c>
      <c r="F786" s="230"/>
      <c r="G786" s="227"/>
      <c r="H786" s="226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5.75" customHeight="1">
      <c r="A787" s="218" t="s">
        <v>364</v>
      </c>
      <c r="B787" s="218" t="s">
        <v>670</v>
      </c>
      <c r="C787" s="218">
        <v>0</v>
      </c>
      <c r="D787" s="229">
        <v>1</v>
      </c>
      <c r="E787" s="101">
        <f t="shared" si="5"/>
        <v>0</v>
      </c>
      <c r="F787" s="230"/>
      <c r="G787" s="227"/>
      <c r="H787" s="226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5.75" customHeight="1">
      <c r="A788" s="218" t="s">
        <v>365</v>
      </c>
      <c r="B788" s="218" t="s">
        <v>671</v>
      </c>
      <c r="C788" s="218">
        <v>0</v>
      </c>
      <c r="D788" s="229">
        <v>1</v>
      </c>
      <c r="E788" s="101">
        <f t="shared" si="5"/>
        <v>0</v>
      </c>
      <c r="F788" s="230"/>
      <c r="G788" s="227"/>
      <c r="H788" s="226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5.75" customHeight="1">
      <c r="A789" s="218" t="s">
        <v>366</v>
      </c>
      <c r="B789" s="218" t="s">
        <v>672</v>
      </c>
      <c r="C789" s="218">
        <v>0</v>
      </c>
      <c r="D789" s="229">
        <v>1</v>
      </c>
      <c r="E789" s="101">
        <f t="shared" si="5"/>
        <v>0</v>
      </c>
      <c r="F789" s="230"/>
      <c r="G789" s="227"/>
      <c r="H789" s="226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5.75" customHeight="1">
      <c r="A790" s="218" t="s">
        <v>367</v>
      </c>
      <c r="B790" s="218" t="s">
        <v>673</v>
      </c>
      <c r="C790" s="218">
        <v>0</v>
      </c>
      <c r="D790" s="229">
        <v>1</v>
      </c>
      <c r="E790" s="101">
        <f t="shared" si="5"/>
        <v>0</v>
      </c>
      <c r="F790" s="230"/>
      <c r="G790" s="227"/>
      <c r="H790" s="226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5.75" customHeight="1">
      <c r="A791" s="218" t="s">
        <v>368</v>
      </c>
      <c r="B791" s="218" t="s">
        <v>674</v>
      </c>
      <c r="C791" s="218">
        <v>0</v>
      </c>
      <c r="D791" s="229">
        <v>1</v>
      </c>
      <c r="E791" s="101">
        <f t="shared" si="5"/>
        <v>0</v>
      </c>
      <c r="F791" s="230"/>
      <c r="G791" s="227"/>
      <c r="H791" s="226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5.75" customHeight="1">
      <c r="A792" s="218" t="s">
        <v>369</v>
      </c>
      <c r="B792" s="218" t="s">
        <v>675</v>
      </c>
      <c r="C792" s="218">
        <v>0</v>
      </c>
      <c r="D792" s="229">
        <v>1</v>
      </c>
      <c r="E792" s="101">
        <f t="shared" si="5"/>
        <v>0</v>
      </c>
      <c r="F792" s="230"/>
      <c r="G792" s="227"/>
      <c r="H792" s="226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5.75" customHeight="1">
      <c r="A793" s="218" t="s">
        <v>370</v>
      </c>
      <c r="B793" s="218" t="s">
        <v>676</v>
      </c>
      <c r="C793" s="218">
        <v>0</v>
      </c>
      <c r="D793" s="229">
        <v>1</v>
      </c>
      <c r="E793" s="101">
        <f t="shared" si="5"/>
        <v>0</v>
      </c>
      <c r="F793" s="230"/>
      <c r="G793" s="227"/>
      <c r="H793" s="226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5.75" customHeight="1">
      <c r="A794" s="218" t="s">
        <v>371</v>
      </c>
      <c r="B794" s="218" t="s">
        <v>677</v>
      </c>
      <c r="C794" s="218">
        <v>0</v>
      </c>
      <c r="D794" s="229">
        <v>1</v>
      </c>
      <c r="E794" s="101">
        <f t="shared" si="5"/>
        <v>0</v>
      </c>
      <c r="F794" s="230"/>
      <c r="G794" s="227"/>
      <c r="H794" s="226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5.75" customHeight="1">
      <c r="A795" s="218" t="s">
        <v>372</v>
      </c>
      <c r="B795" s="218" t="s">
        <v>678</v>
      </c>
      <c r="C795" s="218">
        <v>0</v>
      </c>
      <c r="D795" s="229">
        <v>1</v>
      </c>
      <c r="E795" s="101">
        <f t="shared" si="5"/>
        <v>0</v>
      </c>
      <c r="F795" s="230"/>
      <c r="G795" s="227"/>
      <c r="H795" s="226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5.75" customHeight="1">
      <c r="A796" s="218" t="s">
        <v>163</v>
      </c>
      <c r="B796" s="218" t="s">
        <v>486</v>
      </c>
      <c r="C796" s="218">
        <v>0</v>
      </c>
      <c r="D796" s="229">
        <v>1</v>
      </c>
      <c r="E796" s="101">
        <f t="shared" si="5"/>
        <v>0</v>
      </c>
      <c r="F796" s="230"/>
      <c r="G796" s="227"/>
      <c r="H796" s="226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5.75" customHeight="1">
      <c r="A797" s="218" t="s">
        <v>373</v>
      </c>
      <c r="B797" s="218" t="s">
        <v>679</v>
      </c>
      <c r="C797" s="218">
        <v>41.18</v>
      </c>
      <c r="D797" s="229">
        <v>1</v>
      </c>
      <c r="E797" s="101">
        <f t="shared" si="5"/>
        <v>41.18</v>
      </c>
      <c r="F797" s="230"/>
      <c r="G797" s="227"/>
      <c r="H797" s="226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5.75" customHeight="1">
      <c r="A798" s="218" t="s">
        <v>374</v>
      </c>
      <c r="B798" s="218" t="s">
        <v>680</v>
      </c>
      <c r="C798" s="218">
        <v>41.18</v>
      </c>
      <c r="D798" s="229">
        <v>1</v>
      </c>
      <c r="E798" s="101">
        <f t="shared" si="5"/>
        <v>41.18</v>
      </c>
      <c r="F798" s="230"/>
      <c r="G798" s="227"/>
      <c r="H798" s="226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5.75" customHeight="1">
      <c r="A799" s="218" t="s">
        <v>375</v>
      </c>
      <c r="B799" s="218" t="s">
        <v>681</v>
      </c>
      <c r="C799" s="218">
        <v>41.18</v>
      </c>
      <c r="D799" s="229">
        <v>1</v>
      </c>
      <c r="E799" s="101">
        <f t="shared" si="5"/>
        <v>41.18</v>
      </c>
      <c r="F799" s="230"/>
      <c r="G799" s="227"/>
      <c r="H799" s="226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5.75" customHeight="1">
      <c r="A800" s="218" t="s">
        <v>376</v>
      </c>
      <c r="B800" s="218" t="s">
        <v>682</v>
      </c>
      <c r="C800" s="218">
        <v>41.18</v>
      </c>
      <c r="D800" s="229">
        <v>1</v>
      </c>
      <c r="E800" s="101">
        <f t="shared" si="5"/>
        <v>41.18</v>
      </c>
      <c r="F800" s="230"/>
      <c r="G800" s="227"/>
      <c r="H800" s="226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5.75" customHeight="1">
      <c r="A801" s="218" t="s">
        <v>377</v>
      </c>
      <c r="B801" s="218" t="s">
        <v>683</v>
      </c>
      <c r="C801" s="218">
        <v>41.18</v>
      </c>
      <c r="D801" s="229">
        <v>1</v>
      </c>
      <c r="E801" s="101">
        <f t="shared" si="5"/>
        <v>41.18</v>
      </c>
      <c r="F801" s="230"/>
      <c r="G801" s="227"/>
      <c r="H801" s="226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5.75" customHeight="1">
      <c r="A802" s="218" t="s">
        <v>378</v>
      </c>
      <c r="B802" s="218" t="s">
        <v>684</v>
      </c>
      <c r="C802" s="218">
        <v>41.18</v>
      </c>
      <c r="D802" s="229">
        <v>1</v>
      </c>
      <c r="E802" s="101">
        <f t="shared" si="5"/>
        <v>41.18</v>
      </c>
      <c r="F802" s="230"/>
      <c r="G802" s="227"/>
      <c r="H802" s="226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5.75" customHeight="1">
      <c r="A803" s="218" t="s">
        <v>379</v>
      </c>
      <c r="B803" s="218" t="s">
        <v>685</v>
      </c>
      <c r="C803" s="218">
        <v>41.18</v>
      </c>
      <c r="D803" s="229">
        <v>1</v>
      </c>
      <c r="E803" s="101">
        <f t="shared" si="5"/>
        <v>41.18</v>
      </c>
      <c r="F803" s="230"/>
      <c r="G803" s="227"/>
      <c r="H803" s="226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5.75" customHeight="1">
      <c r="A804" s="218" t="s">
        <v>380</v>
      </c>
      <c r="B804" s="218" t="s">
        <v>686</v>
      </c>
      <c r="C804" s="218">
        <v>41.18</v>
      </c>
      <c r="D804" s="229">
        <v>1</v>
      </c>
      <c r="E804" s="101">
        <f t="shared" si="5"/>
        <v>41.18</v>
      </c>
      <c r="F804" s="230"/>
      <c r="G804" s="227"/>
      <c r="H804" s="226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5.75" customHeight="1">
      <c r="A805" s="218" t="s">
        <v>381</v>
      </c>
      <c r="B805" s="218" t="s">
        <v>687</v>
      </c>
      <c r="C805" s="218">
        <v>41.18</v>
      </c>
      <c r="D805" s="229">
        <v>1</v>
      </c>
      <c r="E805" s="101">
        <f t="shared" si="5"/>
        <v>41.18</v>
      </c>
      <c r="F805" s="230"/>
      <c r="G805" s="227"/>
      <c r="H805" s="226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5.75" customHeight="1">
      <c r="A806" s="218" t="s">
        <v>382</v>
      </c>
      <c r="B806" s="218" t="s">
        <v>688</v>
      </c>
      <c r="C806" s="218">
        <v>41.18</v>
      </c>
      <c r="D806" s="229">
        <v>1</v>
      </c>
      <c r="E806" s="101">
        <f t="shared" si="5"/>
        <v>41.18</v>
      </c>
      <c r="F806" s="230"/>
      <c r="G806" s="227"/>
      <c r="H806" s="226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5.75" customHeight="1">
      <c r="A807" s="218" t="s">
        <v>163</v>
      </c>
      <c r="B807" s="218" t="s">
        <v>486</v>
      </c>
      <c r="C807" s="218">
        <v>0</v>
      </c>
      <c r="D807" s="229">
        <v>1</v>
      </c>
      <c r="E807" s="101">
        <f t="shared" si="5"/>
        <v>0</v>
      </c>
      <c r="F807" s="230"/>
      <c r="G807" s="227"/>
      <c r="H807" s="226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5.75" customHeight="1">
      <c r="A808" s="218" t="s">
        <v>383</v>
      </c>
      <c r="B808" s="218" t="s">
        <v>689</v>
      </c>
      <c r="C808" s="218">
        <v>41.18</v>
      </c>
      <c r="D808" s="229">
        <v>1</v>
      </c>
      <c r="E808" s="101">
        <f t="shared" si="5"/>
        <v>41.18</v>
      </c>
      <c r="F808" s="230"/>
      <c r="G808" s="227"/>
      <c r="H808" s="226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5.75" customHeight="1">
      <c r="A809" s="218" t="s">
        <v>384</v>
      </c>
      <c r="B809" s="218" t="s">
        <v>690</v>
      </c>
      <c r="C809" s="218">
        <v>41.18</v>
      </c>
      <c r="D809" s="229">
        <v>1</v>
      </c>
      <c r="E809" s="101">
        <f t="shared" si="5"/>
        <v>41.18</v>
      </c>
      <c r="F809" s="230"/>
      <c r="G809" s="227"/>
      <c r="H809" s="226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5.75" customHeight="1">
      <c r="A810" s="218" t="s">
        <v>385</v>
      </c>
      <c r="B810" s="218" t="s">
        <v>691</v>
      </c>
      <c r="C810" s="218">
        <v>41.18</v>
      </c>
      <c r="D810" s="229">
        <v>1</v>
      </c>
      <c r="E810" s="101">
        <f t="shared" si="5"/>
        <v>41.18</v>
      </c>
      <c r="F810" s="230"/>
      <c r="G810" s="227"/>
      <c r="H810" s="226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5.75" customHeight="1">
      <c r="A811" s="218" t="s">
        <v>386</v>
      </c>
      <c r="B811" s="218" t="s">
        <v>692</v>
      </c>
      <c r="C811" s="218">
        <v>41.18</v>
      </c>
      <c r="D811" s="229">
        <v>1</v>
      </c>
      <c r="E811" s="101">
        <f t="shared" si="5"/>
        <v>41.18</v>
      </c>
      <c r="F811" s="230"/>
      <c r="G811" s="227"/>
      <c r="H811" s="226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5.75" customHeight="1">
      <c r="A812" s="218" t="s">
        <v>387</v>
      </c>
      <c r="B812" s="218" t="s">
        <v>693</v>
      </c>
      <c r="C812" s="218">
        <v>41.18</v>
      </c>
      <c r="D812" s="229">
        <v>1</v>
      </c>
      <c r="E812" s="101">
        <f t="shared" si="5"/>
        <v>41.18</v>
      </c>
      <c r="F812" s="230"/>
      <c r="G812" s="227"/>
      <c r="H812" s="226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5.75" customHeight="1">
      <c r="A813" s="218" t="s">
        <v>163</v>
      </c>
      <c r="B813" s="218" t="s">
        <v>486</v>
      </c>
      <c r="C813" s="218">
        <v>0</v>
      </c>
      <c r="D813" s="229">
        <v>1</v>
      </c>
      <c r="E813" s="101">
        <f t="shared" si="5"/>
        <v>0</v>
      </c>
      <c r="F813" s="230"/>
      <c r="G813" s="227"/>
      <c r="H813" s="226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5.75" customHeight="1">
      <c r="A814" s="218" t="s">
        <v>388</v>
      </c>
      <c r="B814" s="218" t="s">
        <v>694</v>
      </c>
      <c r="C814" s="218">
        <v>0</v>
      </c>
      <c r="D814" s="229">
        <v>1</v>
      </c>
      <c r="E814" s="101">
        <f t="shared" si="5"/>
        <v>0</v>
      </c>
      <c r="F814" s="230"/>
      <c r="G814" s="227"/>
      <c r="H814" s="226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5.75" customHeight="1">
      <c r="A815" s="218" t="s">
        <v>389</v>
      </c>
      <c r="B815" s="218" t="s">
        <v>695</v>
      </c>
      <c r="C815" s="218">
        <v>0</v>
      </c>
      <c r="D815" s="229">
        <v>1</v>
      </c>
      <c r="E815" s="101">
        <f t="shared" si="5"/>
        <v>0</v>
      </c>
      <c r="F815" s="230"/>
      <c r="G815" s="227"/>
      <c r="H815" s="226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5.75" customHeight="1">
      <c r="A816" s="218" t="s">
        <v>390</v>
      </c>
      <c r="B816" s="218" t="s">
        <v>696</v>
      </c>
      <c r="C816" s="218">
        <v>0</v>
      </c>
      <c r="D816" s="229">
        <v>1</v>
      </c>
      <c r="E816" s="101">
        <f t="shared" si="5"/>
        <v>0</v>
      </c>
      <c r="F816" s="230"/>
      <c r="G816" s="227"/>
      <c r="H816" s="226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5.75" customHeight="1">
      <c r="A817" s="218" t="s">
        <v>391</v>
      </c>
      <c r="B817" s="218" t="s">
        <v>697</v>
      </c>
      <c r="C817" s="218">
        <v>0</v>
      </c>
      <c r="D817" s="229">
        <v>1</v>
      </c>
      <c r="E817" s="101">
        <f t="shared" si="5"/>
        <v>0</v>
      </c>
      <c r="F817" s="230"/>
      <c r="G817" s="227"/>
      <c r="H817" s="226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5.75" customHeight="1">
      <c r="A818" s="218" t="s">
        <v>392</v>
      </c>
      <c r="B818" s="218" t="s">
        <v>698</v>
      </c>
      <c r="C818" s="218">
        <v>0</v>
      </c>
      <c r="D818" s="229">
        <v>1</v>
      </c>
      <c r="E818" s="101">
        <f t="shared" si="5"/>
        <v>0</v>
      </c>
      <c r="F818" s="230"/>
      <c r="G818" s="227"/>
      <c r="H818" s="226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5.75" customHeight="1">
      <c r="A819" s="218" t="s">
        <v>393</v>
      </c>
      <c r="B819" s="218" t="s">
        <v>699</v>
      </c>
      <c r="C819" s="218">
        <v>0</v>
      </c>
      <c r="D819" s="229">
        <v>1</v>
      </c>
      <c r="E819" s="101">
        <f t="shared" si="5"/>
        <v>0</v>
      </c>
      <c r="F819" s="230"/>
      <c r="G819" s="227"/>
      <c r="H819" s="226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5.75" customHeight="1">
      <c r="A820" s="218" t="s">
        <v>394</v>
      </c>
      <c r="B820" s="218" t="s">
        <v>700</v>
      </c>
      <c r="C820" s="218">
        <v>0</v>
      </c>
      <c r="D820" s="229">
        <v>1</v>
      </c>
      <c r="E820" s="101">
        <f t="shared" si="5"/>
        <v>0</v>
      </c>
      <c r="F820" s="230"/>
      <c r="G820" s="227"/>
      <c r="H820" s="226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5.75" customHeight="1">
      <c r="A821" s="218" t="s">
        <v>395</v>
      </c>
      <c r="B821" s="218" t="s">
        <v>701</v>
      </c>
      <c r="C821" s="218">
        <v>0</v>
      </c>
      <c r="D821" s="229">
        <v>1</v>
      </c>
      <c r="E821" s="101">
        <f t="shared" si="5"/>
        <v>0</v>
      </c>
      <c r="F821" s="230"/>
      <c r="G821" s="227"/>
      <c r="H821" s="226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5.75" customHeight="1">
      <c r="A822" s="218" t="s">
        <v>396</v>
      </c>
      <c r="B822" s="218" t="s">
        <v>702</v>
      </c>
      <c r="C822" s="218">
        <v>0</v>
      </c>
      <c r="D822" s="229">
        <v>1</v>
      </c>
      <c r="E822" s="101">
        <f t="shared" si="5"/>
        <v>0</v>
      </c>
      <c r="F822" s="230"/>
      <c r="G822" s="227"/>
      <c r="H822" s="226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5.75" customHeight="1">
      <c r="A823" s="218" t="s">
        <v>397</v>
      </c>
      <c r="B823" s="218" t="s">
        <v>703</v>
      </c>
      <c r="C823" s="218">
        <v>0</v>
      </c>
      <c r="D823" s="229">
        <v>1</v>
      </c>
      <c r="E823" s="101">
        <f t="shared" si="5"/>
        <v>0</v>
      </c>
      <c r="F823" s="230"/>
      <c r="G823" s="227"/>
      <c r="H823" s="226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5.75" customHeight="1">
      <c r="A824" s="218" t="s">
        <v>398</v>
      </c>
      <c r="B824" s="218" t="s">
        <v>704</v>
      </c>
      <c r="C824" s="218">
        <v>58.82</v>
      </c>
      <c r="D824" s="229">
        <v>1</v>
      </c>
      <c r="E824" s="101">
        <f t="shared" si="5"/>
        <v>58.82</v>
      </c>
      <c r="F824" s="230"/>
      <c r="G824" s="227"/>
      <c r="H824" s="226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5.75" customHeight="1">
      <c r="A825" s="218" t="s">
        <v>163</v>
      </c>
      <c r="B825" s="218" t="s">
        <v>486</v>
      </c>
      <c r="C825" s="218">
        <v>0</v>
      </c>
      <c r="D825" s="229">
        <v>1</v>
      </c>
      <c r="E825" s="101">
        <f t="shared" si="5"/>
        <v>0</v>
      </c>
      <c r="F825" s="230"/>
      <c r="G825" s="227"/>
      <c r="H825" s="226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5.75" customHeight="1">
      <c r="A826" s="218" t="s">
        <v>399</v>
      </c>
      <c r="B826" s="218" t="s">
        <v>705</v>
      </c>
      <c r="C826" s="218">
        <v>83.99</v>
      </c>
      <c r="D826" s="229">
        <v>1</v>
      </c>
      <c r="E826" s="101">
        <f t="shared" si="5"/>
        <v>83.99</v>
      </c>
      <c r="F826" s="230"/>
      <c r="G826" s="227"/>
      <c r="H826" s="226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5.75" customHeight="1">
      <c r="A827" s="218" t="s">
        <v>400</v>
      </c>
      <c r="B827" s="218" t="s">
        <v>706</v>
      </c>
      <c r="C827" s="218">
        <v>83.99</v>
      </c>
      <c r="D827" s="229">
        <v>1</v>
      </c>
      <c r="E827" s="101">
        <f t="shared" si="5"/>
        <v>83.99</v>
      </c>
      <c r="F827" s="230"/>
      <c r="G827" s="227"/>
      <c r="H827" s="226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5.75" customHeight="1">
      <c r="A828" s="218" t="s">
        <v>401</v>
      </c>
      <c r="B828" s="218" t="s">
        <v>707</v>
      </c>
      <c r="C828" s="218">
        <v>83.99</v>
      </c>
      <c r="D828" s="229">
        <v>1</v>
      </c>
      <c r="E828" s="101">
        <f t="shared" si="5"/>
        <v>83.99</v>
      </c>
      <c r="F828" s="230"/>
      <c r="G828" s="227"/>
      <c r="H828" s="226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5.75" customHeight="1">
      <c r="A829" s="218" t="s">
        <v>402</v>
      </c>
      <c r="B829" s="218" t="s">
        <v>708</v>
      </c>
      <c r="C829" s="218">
        <v>83.99</v>
      </c>
      <c r="D829" s="229">
        <v>1</v>
      </c>
      <c r="E829" s="101">
        <f t="shared" si="5"/>
        <v>83.99</v>
      </c>
      <c r="F829" s="230"/>
      <c r="G829" s="227"/>
      <c r="H829" s="226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5.75" customHeight="1">
      <c r="A830" s="218" t="s">
        <v>403</v>
      </c>
      <c r="B830" s="218" t="s">
        <v>709</v>
      </c>
      <c r="C830" s="218">
        <v>83.99</v>
      </c>
      <c r="D830" s="229">
        <v>1</v>
      </c>
      <c r="E830" s="101">
        <f t="shared" si="5"/>
        <v>83.99</v>
      </c>
      <c r="F830" s="230"/>
      <c r="G830" s="227"/>
      <c r="H830" s="226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5.75" customHeight="1">
      <c r="A831" s="218" t="s">
        <v>404</v>
      </c>
      <c r="B831" s="218" t="s">
        <v>710</v>
      </c>
      <c r="C831" s="218">
        <v>83.99</v>
      </c>
      <c r="D831" s="229">
        <v>1</v>
      </c>
      <c r="E831" s="101">
        <f t="shared" si="5"/>
        <v>83.99</v>
      </c>
      <c r="F831" s="230"/>
      <c r="G831" s="227"/>
      <c r="H831" s="226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5.75" customHeight="1">
      <c r="A832" s="218" t="s">
        <v>163</v>
      </c>
      <c r="B832" s="218" t="s">
        <v>486</v>
      </c>
      <c r="C832" s="218">
        <v>0</v>
      </c>
      <c r="D832" s="229">
        <v>1</v>
      </c>
      <c r="E832" s="101">
        <f t="shared" si="5"/>
        <v>0</v>
      </c>
      <c r="F832" s="230"/>
      <c r="G832" s="227"/>
      <c r="H832" s="226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5.75" customHeight="1">
      <c r="A833" s="218" t="s">
        <v>405</v>
      </c>
      <c r="B833" s="218" t="s">
        <v>711</v>
      </c>
      <c r="C833" s="218">
        <v>26.47</v>
      </c>
      <c r="D833" s="229">
        <v>1</v>
      </c>
      <c r="E833" s="101">
        <f t="shared" si="5"/>
        <v>26.47</v>
      </c>
      <c r="F833" s="230"/>
      <c r="G833" s="227"/>
      <c r="H833" s="226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5.75" customHeight="1">
      <c r="A834" s="218" t="s">
        <v>406</v>
      </c>
      <c r="B834" s="218" t="s">
        <v>712</v>
      </c>
      <c r="C834" s="218">
        <v>26.47</v>
      </c>
      <c r="D834" s="229">
        <v>1</v>
      </c>
      <c r="E834" s="101">
        <f t="shared" si="5"/>
        <v>26.47</v>
      </c>
      <c r="F834" s="230"/>
      <c r="G834" s="227"/>
      <c r="H834" s="226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5.75" customHeight="1">
      <c r="A835" s="218" t="s">
        <v>407</v>
      </c>
      <c r="B835" s="218" t="s">
        <v>713</v>
      </c>
      <c r="C835" s="218">
        <v>26.47</v>
      </c>
      <c r="D835" s="229">
        <v>1</v>
      </c>
      <c r="E835" s="101">
        <f t="shared" si="5"/>
        <v>26.47</v>
      </c>
      <c r="F835" s="230"/>
      <c r="G835" s="227"/>
      <c r="H835" s="226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5.75" customHeight="1">
      <c r="A836" s="218" t="s">
        <v>408</v>
      </c>
      <c r="B836" s="218" t="s">
        <v>714</v>
      </c>
      <c r="C836" s="218">
        <v>26.47</v>
      </c>
      <c r="D836" s="229">
        <v>1</v>
      </c>
      <c r="E836" s="101">
        <f t="shared" si="5"/>
        <v>26.47</v>
      </c>
      <c r="F836" s="230"/>
      <c r="G836" s="227"/>
      <c r="H836" s="226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5.75" customHeight="1">
      <c r="A837" s="218" t="s">
        <v>409</v>
      </c>
      <c r="B837" s="218" t="s">
        <v>715</v>
      </c>
      <c r="C837" s="218">
        <v>26.47</v>
      </c>
      <c r="D837" s="229">
        <v>1</v>
      </c>
      <c r="E837" s="101">
        <f t="shared" si="5"/>
        <v>26.47</v>
      </c>
      <c r="F837" s="230"/>
      <c r="G837" s="227"/>
      <c r="H837" s="226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5.75" customHeight="1">
      <c r="A838" s="218" t="s">
        <v>163</v>
      </c>
      <c r="B838" s="218" t="s">
        <v>486</v>
      </c>
      <c r="C838" s="218">
        <v>0</v>
      </c>
      <c r="D838" s="229">
        <v>1</v>
      </c>
      <c r="E838" s="101">
        <f t="shared" si="5"/>
        <v>0</v>
      </c>
      <c r="F838" s="230"/>
      <c r="G838" s="227"/>
      <c r="H838" s="226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5.75" customHeight="1">
      <c r="A839" s="218" t="s">
        <v>410</v>
      </c>
      <c r="B839" s="218" t="s">
        <v>716</v>
      </c>
      <c r="C839" s="218">
        <v>8.24</v>
      </c>
      <c r="D839" s="229">
        <v>1</v>
      </c>
      <c r="E839" s="101">
        <f t="shared" si="5"/>
        <v>8.24</v>
      </c>
      <c r="F839" s="230"/>
      <c r="G839" s="227"/>
      <c r="H839" s="226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5.75" customHeight="1">
      <c r="A840" s="218" t="s">
        <v>411</v>
      </c>
      <c r="B840" s="218" t="s">
        <v>717</v>
      </c>
      <c r="C840" s="218">
        <v>11.76</v>
      </c>
      <c r="D840" s="229">
        <v>1</v>
      </c>
      <c r="E840" s="101">
        <f t="shared" si="5"/>
        <v>11.76</v>
      </c>
      <c r="F840" s="230"/>
      <c r="G840" s="227"/>
      <c r="H840" s="226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5.75" customHeight="1">
      <c r="A841" s="218" t="s">
        <v>412</v>
      </c>
      <c r="B841" s="218" t="s">
        <v>718</v>
      </c>
      <c r="C841" s="218">
        <v>10</v>
      </c>
      <c r="D841" s="229">
        <v>1</v>
      </c>
      <c r="E841" s="101">
        <f t="shared" si="5"/>
        <v>10</v>
      </c>
      <c r="F841" s="230"/>
      <c r="G841" s="227"/>
      <c r="H841" s="226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5.75" customHeight="1">
      <c r="A842" s="218" t="s">
        <v>413</v>
      </c>
      <c r="B842" s="218" t="s">
        <v>719</v>
      </c>
      <c r="C842" s="218">
        <v>5.88</v>
      </c>
      <c r="D842" s="229">
        <v>1</v>
      </c>
      <c r="E842" s="101">
        <f t="shared" si="5"/>
        <v>5.88</v>
      </c>
      <c r="F842" s="230"/>
      <c r="G842" s="227"/>
      <c r="H842" s="226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5.75" customHeight="1">
      <c r="A843" s="218" t="s">
        <v>414</v>
      </c>
      <c r="B843" s="218" t="s">
        <v>720</v>
      </c>
      <c r="C843" s="218">
        <v>7.06</v>
      </c>
      <c r="D843" s="229">
        <v>1</v>
      </c>
      <c r="E843" s="101">
        <f t="shared" si="5"/>
        <v>7.06</v>
      </c>
      <c r="F843" s="230"/>
      <c r="G843" s="227"/>
      <c r="H843" s="226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5.75" customHeight="1">
      <c r="A844" s="218" t="s">
        <v>163</v>
      </c>
      <c r="B844" s="218" t="s">
        <v>486</v>
      </c>
      <c r="C844" s="218">
        <v>0</v>
      </c>
      <c r="D844" s="229">
        <v>1</v>
      </c>
      <c r="E844" s="101">
        <f t="shared" si="5"/>
        <v>0</v>
      </c>
      <c r="F844" s="230"/>
      <c r="G844" s="227"/>
      <c r="H844" s="226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5.75" customHeight="1">
      <c r="A845" s="218" t="s">
        <v>415</v>
      </c>
      <c r="B845" s="218" t="s">
        <v>721</v>
      </c>
      <c r="C845" s="218">
        <v>42.35</v>
      </c>
      <c r="D845" s="229">
        <v>1</v>
      </c>
      <c r="E845" s="101">
        <f t="shared" si="5"/>
        <v>42.35</v>
      </c>
      <c r="F845" s="230"/>
      <c r="G845" s="227"/>
      <c r="H845" s="226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5.75" customHeight="1">
      <c r="A846" s="218" t="s">
        <v>416</v>
      </c>
      <c r="B846" s="218" t="s">
        <v>722</v>
      </c>
      <c r="C846" s="218">
        <v>82.35</v>
      </c>
      <c r="D846" s="229">
        <v>1</v>
      </c>
      <c r="E846" s="101">
        <f t="shared" ref="E846:E855" si="6">C846*D846</f>
        <v>82.35</v>
      </c>
      <c r="F846" s="230"/>
      <c r="G846" s="227"/>
      <c r="H846" s="226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5.75" customHeight="1">
      <c r="A847" s="218" t="s">
        <v>163</v>
      </c>
      <c r="B847" s="218">
        <v>0</v>
      </c>
      <c r="C847" s="218">
        <v>0</v>
      </c>
      <c r="D847" s="229">
        <v>1</v>
      </c>
      <c r="E847" s="101">
        <f t="shared" si="6"/>
        <v>0</v>
      </c>
      <c r="F847" s="230"/>
      <c r="G847" s="227"/>
      <c r="H847" s="226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5.75" customHeight="1">
      <c r="A848" s="218" t="s">
        <v>163</v>
      </c>
      <c r="B848" s="218">
        <v>0</v>
      </c>
      <c r="C848" s="218">
        <v>0</v>
      </c>
      <c r="D848" s="229">
        <v>1</v>
      </c>
      <c r="E848" s="101">
        <f t="shared" si="6"/>
        <v>0</v>
      </c>
      <c r="F848" s="230"/>
      <c r="G848" s="227"/>
      <c r="H848" s="226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5.75" customHeight="1">
      <c r="A849" s="218" t="s">
        <v>163</v>
      </c>
      <c r="B849" s="218">
        <v>0</v>
      </c>
      <c r="C849" s="218">
        <v>0</v>
      </c>
      <c r="D849" s="229">
        <v>1</v>
      </c>
      <c r="E849" s="101">
        <f t="shared" si="6"/>
        <v>0</v>
      </c>
      <c r="F849" s="230"/>
      <c r="G849" s="227"/>
      <c r="H849" s="226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5.75" customHeight="1">
      <c r="A850" s="218" t="s">
        <v>163</v>
      </c>
      <c r="B850" s="218">
        <v>0</v>
      </c>
      <c r="C850" s="218">
        <v>0</v>
      </c>
      <c r="D850" s="229">
        <v>1</v>
      </c>
      <c r="E850" s="101">
        <f t="shared" si="6"/>
        <v>0</v>
      </c>
      <c r="F850" s="230"/>
      <c r="G850" s="227"/>
      <c r="H850" s="226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5.75" customHeight="1">
      <c r="A851" s="218" t="s">
        <v>163</v>
      </c>
      <c r="B851" s="218">
        <v>0</v>
      </c>
      <c r="C851" s="218">
        <v>0</v>
      </c>
      <c r="D851" s="229">
        <v>1</v>
      </c>
      <c r="E851" s="101">
        <f t="shared" si="6"/>
        <v>0</v>
      </c>
      <c r="F851" s="230"/>
      <c r="G851" s="227"/>
      <c r="H851" s="226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5.75" customHeight="1">
      <c r="A852" s="218" t="s">
        <v>163</v>
      </c>
      <c r="B852" s="218">
        <v>0</v>
      </c>
      <c r="C852" s="218">
        <v>0</v>
      </c>
      <c r="D852" s="229">
        <v>1</v>
      </c>
      <c r="E852" s="101">
        <f t="shared" si="6"/>
        <v>0</v>
      </c>
      <c r="F852" s="230"/>
      <c r="G852" s="227"/>
      <c r="H852" s="226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5.75" customHeight="1">
      <c r="A853" s="218" t="s">
        <v>163</v>
      </c>
      <c r="B853" s="218">
        <v>0</v>
      </c>
      <c r="C853" s="218">
        <v>0</v>
      </c>
      <c r="D853" s="229">
        <v>1</v>
      </c>
      <c r="E853" s="101">
        <f t="shared" si="6"/>
        <v>0</v>
      </c>
      <c r="F853" s="230"/>
      <c r="G853" s="227"/>
      <c r="H853" s="226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5.75" customHeight="1">
      <c r="A854" s="218" t="s">
        <v>163</v>
      </c>
      <c r="B854" s="218">
        <v>0</v>
      </c>
      <c r="C854" s="218">
        <v>0</v>
      </c>
      <c r="D854" s="229">
        <v>1</v>
      </c>
      <c r="E854" s="101">
        <f t="shared" si="6"/>
        <v>0</v>
      </c>
      <c r="F854" s="230"/>
      <c r="G854" s="227"/>
      <c r="H854" s="226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5.75" customHeight="1">
      <c r="A855" s="218" t="s">
        <v>163</v>
      </c>
      <c r="B855" s="218">
        <v>0</v>
      </c>
      <c r="C855" s="218">
        <v>0</v>
      </c>
      <c r="D855" s="229">
        <v>1</v>
      </c>
      <c r="E855" s="101">
        <f t="shared" si="6"/>
        <v>0</v>
      </c>
      <c r="F855" s="230"/>
      <c r="G855" s="227"/>
      <c r="H855" s="226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5.75" customHeight="1">
      <c r="A856" s="79"/>
      <c r="B856" s="79"/>
      <c r="C856" s="79"/>
      <c r="D856" s="79"/>
      <c r="E856" s="79"/>
      <c r="F856" s="79"/>
      <c r="G856" s="79"/>
      <c r="H856" s="79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5.75" customHeight="1">
      <c r="A857" s="76"/>
      <c r="B857" s="76"/>
      <c r="C857" s="76"/>
      <c r="D857" s="76"/>
      <c r="E857" s="76"/>
      <c r="F857" s="76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5.75" customHeight="1">
      <c r="A858" s="76"/>
      <c r="B858" s="76"/>
      <c r="C858" s="76"/>
      <c r="D858" s="76"/>
      <c r="E858" s="76"/>
      <c r="F858" s="76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5.75" customHeight="1">
      <c r="A859" s="76"/>
      <c r="B859" s="76"/>
      <c r="C859" s="76"/>
      <c r="D859" s="76"/>
      <c r="E859" s="76"/>
      <c r="F859" s="76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5.75" customHeight="1">
      <c r="A860" s="76"/>
      <c r="B860" s="76"/>
      <c r="C860" s="76"/>
      <c r="D860" s="76"/>
      <c r="E860" s="76"/>
      <c r="F860" s="76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5.75" customHeight="1">
      <c r="A861" s="76"/>
      <c r="B861" s="76"/>
      <c r="C861" s="76"/>
      <c r="D861" s="76"/>
      <c r="E861" s="76"/>
      <c r="F861" s="76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5.75" customHeight="1">
      <c r="A862" s="76"/>
      <c r="B862" s="76"/>
      <c r="C862" s="76"/>
      <c r="D862" s="76"/>
      <c r="E862" s="76"/>
      <c r="F862" s="76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5.75" customHeight="1">
      <c r="A863" s="76"/>
      <c r="B863" s="76"/>
      <c r="C863" s="76"/>
      <c r="D863" s="76"/>
      <c r="E863" s="76"/>
      <c r="F863" s="76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5.75" customHeight="1">
      <c r="A864" s="76"/>
      <c r="B864" s="76"/>
      <c r="C864" s="76"/>
      <c r="D864" s="76"/>
      <c r="E864" s="76"/>
      <c r="F864" s="76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5.75" customHeight="1">
      <c r="A865" s="76"/>
      <c r="B865" s="76"/>
      <c r="C865" s="76"/>
      <c r="D865" s="76"/>
      <c r="E865" s="76"/>
      <c r="F865" s="76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5.75" customHeight="1">
      <c r="A866" s="76"/>
      <c r="B866" s="76"/>
      <c r="C866" s="76"/>
      <c r="D866" s="76"/>
      <c r="E866" s="76"/>
      <c r="F866" s="76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5.75" customHeight="1">
      <c r="A867" s="76"/>
      <c r="B867" s="76"/>
      <c r="C867" s="76"/>
      <c r="D867" s="76"/>
      <c r="E867" s="76"/>
      <c r="F867" s="76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5.75" customHeight="1">
      <c r="A868" s="76"/>
      <c r="B868" s="76"/>
      <c r="C868" s="76"/>
      <c r="D868" s="76"/>
      <c r="E868" s="76"/>
      <c r="F868" s="76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5.75" customHeight="1">
      <c r="A869" s="76"/>
      <c r="B869" s="76"/>
      <c r="C869" s="76"/>
      <c r="D869" s="76"/>
      <c r="E869" s="76"/>
      <c r="F869" s="76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5.75" customHeight="1">
      <c r="A870" s="76"/>
      <c r="B870" s="76"/>
      <c r="C870" s="76"/>
      <c r="D870" s="76"/>
      <c r="E870" s="76"/>
      <c r="F870" s="76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5.75" customHeight="1">
      <c r="A871" s="76"/>
      <c r="B871" s="76"/>
      <c r="C871" s="76"/>
      <c r="D871" s="76"/>
      <c r="E871" s="76"/>
      <c r="F871" s="76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5.75" customHeight="1">
      <c r="A872" s="76"/>
      <c r="B872" s="76"/>
      <c r="C872" s="76"/>
      <c r="D872" s="76"/>
      <c r="E872" s="76"/>
      <c r="F872" s="76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5.75" customHeight="1">
      <c r="A873" s="76"/>
      <c r="B873" s="76"/>
      <c r="C873" s="76"/>
      <c r="D873" s="76"/>
      <c r="E873" s="76"/>
      <c r="F873" s="76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5.75" customHeight="1">
      <c r="A874" s="76"/>
      <c r="B874" s="76"/>
      <c r="C874" s="76"/>
      <c r="D874" s="76"/>
      <c r="E874" s="76"/>
      <c r="F874" s="76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5.75" customHeight="1">
      <c r="A875" s="76"/>
      <c r="B875" s="76"/>
      <c r="C875" s="76"/>
      <c r="D875" s="76"/>
      <c r="E875" s="76"/>
      <c r="F875" s="76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5.75" customHeight="1">
      <c r="A876" s="76"/>
      <c r="B876" s="76"/>
      <c r="C876" s="76"/>
      <c r="D876" s="76"/>
      <c r="E876" s="76"/>
      <c r="F876" s="76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5.75" customHeight="1">
      <c r="A877" s="76"/>
      <c r="B877" s="76"/>
      <c r="C877" s="76"/>
      <c r="D877" s="76"/>
      <c r="E877" s="76"/>
      <c r="F877" s="76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5.75" customHeight="1">
      <c r="A878" s="76"/>
      <c r="B878" s="76"/>
      <c r="C878" s="76"/>
      <c r="D878" s="76"/>
      <c r="E878" s="76"/>
      <c r="F878" s="76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5.75" customHeight="1">
      <c r="A879" s="76"/>
      <c r="B879" s="76"/>
      <c r="C879" s="76"/>
      <c r="D879" s="76"/>
      <c r="E879" s="76"/>
      <c r="F879" s="76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5.75" customHeight="1">
      <c r="A880" s="76"/>
      <c r="B880" s="76"/>
      <c r="C880" s="76"/>
      <c r="D880" s="76"/>
      <c r="E880" s="76"/>
      <c r="F880" s="76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5.75" customHeight="1">
      <c r="A881" s="76"/>
      <c r="B881" s="76"/>
      <c r="C881" s="76"/>
      <c r="D881" s="76"/>
      <c r="E881" s="76"/>
      <c r="F881" s="76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5.75" customHeight="1">
      <c r="A882" s="76"/>
      <c r="B882" s="76"/>
      <c r="C882" s="76"/>
      <c r="D882" s="76"/>
      <c r="E882" s="76"/>
      <c r="F882" s="76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</sheetData>
  <sheetProtection selectLockedCells="1"/>
  <mergeCells count="1">
    <mergeCell ref="G20:M20"/>
  </mergeCells>
  <dataValidations count="6">
    <dataValidation type="list" allowBlank="1" showErrorMessage="1" sqref="B22:B25 B28:B100" xr:uid="{00000000-0002-0000-0200-000000000000}">
      <formula1>$A$2:$A$20</formula1>
    </dataValidation>
    <dataValidation type="list" allowBlank="1" showErrorMessage="1" sqref="C67:C100" xr:uid="{00000000-0002-0000-0200-000001000000}">
      <formula1>$B$2:$B$20</formula1>
    </dataValidation>
    <dataValidation type="list" allowBlank="1" showErrorMessage="1" sqref="D22:D100" xr:uid="{00000000-0002-0000-0200-000002000000}">
      <formula1>$C$2:$C$20</formula1>
    </dataValidation>
    <dataValidation type="list" allowBlank="1" showInputMessage="1" showErrorMessage="1" sqref="A4:A5" xr:uid="{DBB7C396-5485-4D80-BC08-92CF9969F04C}">
      <formula1>$A$2:$A$32</formula1>
    </dataValidation>
    <dataValidation type="list" allowBlank="1" showInputMessage="1" showErrorMessage="1" sqref="B26:B27" xr:uid="{AB3D6CF7-B0E6-49AD-8F3C-1C53596D23B1}">
      <formula1>$A$2:$A$30</formula1>
    </dataValidation>
    <dataValidation type="list" allowBlank="1" showInputMessage="1" showErrorMessage="1" sqref="C22:C66" xr:uid="{3A7DB31C-F458-420F-AA2C-69A599D970BE}">
      <formula1>$B$2:$B$20</formula1>
    </dataValidation>
  </dataValidations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EACB44C560849A1B4E210FA9CD239" ma:contentTypeVersion="13" ma:contentTypeDescription="Create a new document." ma:contentTypeScope="" ma:versionID="dc52b1e57ff87c354f5ed8dc0fc93d32">
  <xsd:schema xmlns:xsd="http://www.w3.org/2001/XMLSchema" xmlns:xs="http://www.w3.org/2001/XMLSchema" xmlns:p="http://schemas.microsoft.com/office/2006/metadata/properties" xmlns:ns2="40b3b0de-8f6b-4114-9ebf-9805135cb9a4" xmlns:ns3="f73eba28-70cc-4a4c-b425-0a3c5ef6e4b6" targetNamespace="http://schemas.microsoft.com/office/2006/metadata/properties" ma:root="true" ma:fieldsID="b19ac1f113cf35120c806fb46e74960c" ns2:_="" ns3:_="">
    <xsd:import namespace="40b3b0de-8f6b-4114-9ebf-9805135cb9a4"/>
    <xsd:import namespace="f73eba28-70cc-4a4c-b425-0a3c5ef6e4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3b0de-8f6b-4114-9ebf-9805135c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0e24cb6-3d28-4886-ae5a-011969aeea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eba28-70cc-4a4c-b425-0a3c5ef6e4b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7c00f7d-1557-49d5-b557-a79a841cdf72}" ma:internalName="TaxCatchAll" ma:showField="CatchAllData" ma:web="f73eba28-70cc-4a4c-b425-0a3c5ef6e4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b3b0de-8f6b-4114-9ebf-9805135cb9a4">
      <Terms xmlns="http://schemas.microsoft.com/office/infopath/2007/PartnerControls"/>
    </lcf76f155ced4ddcb4097134ff3c332f>
    <TaxCatchAll xmlns="f73eba28-70cc-4a4c-b425-0a3c5ef6e4b6" xsi:nil="true"/>
  </documentManagement>
</p:properties>
</file>

<file path=customXml/itemProps1.xml><?xml version="1.0" encoding="utf-8"?>
<ds:datastoreItem xmlns:ds="http://schemas.openxmlformats.org/officeDocument/2006/customXml" ds:itemID="{EE555822-FEF2-468A-9204-54DC45D826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b3b0de-8f6b-4114-9ebf-9805135cb9a4"/>
    <ds:schemaRef ds:uri="f73eba28-70cc-4a4c-b425-0a3c5ef6e4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FDA2C1-3D68-458F-9F4A-4A67650BE3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1D40AF-CCB1-42C6-9266-8458C0461731}">
  <ds:schemaRefs>
    <ds:schemaRef ds:uri="40b3b0de-8f6b-4114-9ebf-9805135cb9a4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73eba28-70cc-4a4c-b425-0a3c5ef6e4b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 Plan Template</vt:lpstr>
      <vt:lpstr>Digital Targeting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Emily Pineo</cp:lastModifiedBy>
  <cp:revision/>
  <dcterms:created xsi:type="dcterms:W3CDTF">2025-11-24T21:48:51Z</dcterms:created>
  <dcterms:modified xsi:type="dcterms:W3CDTF">2026-03-11T19:06:21Z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0x0101006D6EACB44C560849A1B4E210FA9CD239</vt:lpwstr>
  </property>
  <property fmtid="{D5CDD505-2E9C-101B-9397-08002B2CF9AE}" pid="3" name="MediaServiceImageTags">
    <vt:lpwstr/>
  </property>
</Properties>
</file>